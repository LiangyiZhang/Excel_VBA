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orkPlace\ProjectDescription\# 003 Teaching\"/>
    </mc:Choice>
  </mc:AlternateContent>
  <workbookProtection workbookAlgorithmName="SHA-512" workbookHashValue="eWvxkpO6d71u+S7/C9utDBmJ4e+d7DC9BRvHfRItSel6HpVw2vPfYDGkbUpbGnQuZstb4kbDd3goQNSJXobMuw==" workbookSaltValue="HpgaF1IE9fZU+l16y2PvWA==" workbookSpinCount="100000" lockStructure="1"/>
  <bookViews>
    <workbookView xWindow="0" yWindow="0" windowWidth="24000" windowHeight="9750"/>
  </bookViews>
  <sheets>
    <sheet name="Excel水平测试" sheetId="1" r:id="rId1"/>
    <sheet name="SELABAS" sheetId="2" state="hidden" r:id="rId2"/>
  </sheets>
  <functionGroups builtInGroupCount="18"/>
  <definedNames>
    <definedName name="键盘">SELABAS!$B$19:$B$29</definedName>
    <definedName name="选项">SELABAS!$B$3:$B$7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" l="1"/>
  <c r="K207" i="1"/>
  <c r="K189" i="1"/>
  <c r="M176" i="1"/>
  <c r="L176" i="1"/>
  <c r="K176" i="1"/>
  <c r="K174" i="1"/>
  <c r="K151" i="1"/>
  <c r="K143" i="1"/>
  <c r="K142" i="1"/>
  <c r="K141" i="1"/>
  <c r="K131" i="1"/>
  <c r="K116" i="1"/>
  <c r="K95" i="1"/>
  <c r="K90" i="1"/>
  <c r="K78" i="1"/>
  <c r="K73" i="1"/>
  <c r="K68" i="1"/>
  <c r="K63" i="1"/>
  <c r="K58" i="1"/>
  <c r="K53" i="1"/>
  <c r="K48" i="1"/>
  <c r="K43" i="1"/>
  <c r="K38" i="1"/>
  <c r="K33" i="1"/>
  <c r="K28" i="1"/>
  <c r="K23" i="1"/>
  <c r="I29" i="2"/>
  <c r="J29" i="2" s="1"/>
  <c r="J189" i="1" s="1"/>
  <c r="I26" i="2"/>
  <c r="J26" i="2" s="1"/>
  <c r="J176" i="1" s="1"/>
  <c r="I28" i="2"/>
  <c r="J28" i="2" s="1"/>
  <c r="I27" i="2"/>
  <c r="J27" i="2" s="1"/>
  <c r="I25" i="2"/>
  <c r="J25" i="2" s="1"/>
  <c r="J174" i="1" s="1"/>
  <c r="I24" i="2"/>
  <c r="J24" i="2" s="1"/>
  <c r="J151" i="1" s="1"/>
  <c r="I23" i="2"/>
  <c r="I22" i="2"/>
  <c r="I21" i="2"/>
  <c r="I19" i="2"/>
  <c r="I20" i="2"/>
  <c r="J20" i="2" s="1"/>
  <c r="J131" i="1" s="1"/>
  <c r="I31" i="2"/>
  <c r="J31" i="2" s="1"/>
  <c r="J207" i="1" s="1"/>
  <c r="J23" i="2" l="1"/>
  <c r="J143" i="1" s="1"/>
  <c r="J22" i="2"/>
  <c r="J142" i="1" s="1"/>
  <c r="J21" i="2"/>
  <c r="J141" i="1" s="1"/>
  <c r="F137" i="1"/>
  <c r="E137" i="1"/>
  <c r="H137" i="1" l="1"/>
  <c r="J19" i="2"/>
  <c r="J116" i="1" s="1"/>
  <c r="I18" i="2"/>
  <c r="J18" i="2" s="1"/>
  <c r="J95" i="1" s="1"/>
  <c r="I17" i="2"/>
  <c r="J17" i="2" s="1"/>
  <c r="J90" i="1" s="1"/>
  <c r="I16" i="2"/>
  <c r="J16" i="2" s="1"/>
  <c r="J78" i="1" s="1"/>
  <c r="I15" i="2"/>
  <c r="J15" i="2" s="1"/>
  <c r="J73" i="1" s="1"/>
  <c r="I14" i="2"/>
  <c r="J14" i="2" s="1"/>
  <c r="J68" i="1" s="1"/>
  <c r="I13" i="2"/>
  <c r="J13" i="2" s="1"/>
  <c r="J63" i="1" s="1"/>
  <c r="I12" i="2"/>
  <c r="J12" i="2" s="1"/>
  <c r="J58" i="1" s="1"/>
  <c r="I11" i="2"/>
  <c r="J11" i="2" s="1"/>
  <c r="J53" i="1" s="1"/>
  <c r="I10" i="2"/>
  <c r="J10" i="2" s="1"/>
  <c r="J48" i="1" s="1"/>
  <c r="I9" i="2"/>
  <c r="J9" i="2" s="1"/>
  <c r="J43" i="1" s="1"/>
  <c r="I8" i="2"/>
  <c r="J8" i="2" s="1"/>
  <c r="J38" i="1" s="1"/>
  <c r="I7" i="2"/>
  <c r="J7" i="2" s="1"/>
  <c r="J33" i="1" s="1"/>
  <c r="C13" i="1"/>
  <c r="I6" i="2"/>
  <c r="J6" i="2" s="1"/>
  <c r="J28" i="1" s="1"/>
  <c r="I5" i="2"/>
  <c r="J5" i="2" s="1"/>
  <c r="J23" i="1" s="1"/>
  <c r="I4" i="2"/>
  <c r="J4" i="2" s="1"/>
  <c r="J18" i="1" l="1"/>
  <c r="D13" i="1"/>
  <c r="E13" i="1" s="1"/>
</calcChain>
</file>

<file path=xl/sharedStrings.xml><?xml version="1.0" encoding="utf-8"?>
<sst xmlns="http://schemas.openxmlformats.org/spreadsheetml/2006/main" count="384" uniqueCount="261">
  <si>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</si>
  <si>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</si>
  <si>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</si>
  <si>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</si>
  <si>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1.</t>
    <phoneticPr fontId="1" type="noConversion"/>
  </si>
  <si>
    <t>(</t>
    <phoneticPr fontId="1" type="noConversion"/>
  </si>
  <si>
    <t>)</t>
    <phoneticPr fontId="1" type="noConversion"/>
  </si>
  <si>
    <t>A.</t>
    <phoneticPr fontId="1" type="noConversion"/>
  </si>
  <si>
    <t>B.</t>
    <phoneticPr fontId="1" type="noConversion"/>
  </si>
  <si>
    <t>C.</t>
    <phoneticPr fontId="1" type="noConversion"/>
  </si>
  <si>
    <t>D.</t>
    <phoneticPr fontId="1" type="noConversion"/>
  </si>
  <si>
    <t>$A2</t>
    <phoneticPr fontId="1" type="noConversion"/>
  </si>
  <si>
    <t>C$</t>
    <phoneticPr fontId="1" type="noConversion"/>
  </si>
  <si>
    <t>E8</t>
    <phoneticPr fontId="1" type="noConversion"/>
  </si>
  <si>
    <t>$E$6</t>
    <phoneticPr fontId="1" type="noConversion"/>
  </si>
  <si>
    <t>2.</t>
    <phoneticPr fontId="1" type="noConversion"/>
  </si>
  <si>
    <t>相对引用</t>
    <phoneticPr fontId="1" type="noConversion"/>
  </si>
  <si>
    <t>绝对引用</t>
    <phoneticPr fontId="1" type="noConversion"/>
  </si>
  <si>
    <t>混合引用</t>
    <phoneticPr fontId="1" type="noConversion"/>
  </si>
  <si>
    <t>3D引用</t>
    <phoneticPr fontId="1" type="noConversion"/>
  </si>
  <si>
    <t>答案</t>
    <phoneticPr fontId="1" type="noConversion"/>
  </si>
  <si>
    <t>题号</t>
    <phoneticPr fontId="1" type="noConversion"/>
  </si>
  <si>
    <t>答题</t>
    <phoneticPr fontId="1" type="noConversion"/>
  </si>
  <si>
    <t>3.</t>
    <phoneticPr fontId="1" type="noConversion"/>
  </si>
  <si>
    <t>4.</t>
    <phoneticPr fontId="1" type="noConversion"/>
  </si>
  <si>
    <t>5.</t>
    <phoneticPr fontId="1" type="noConversion"/>
  </si>
  <si>
    <t>6.</t>
    <phoneticPr fontId="1" type="noConversion"/>
  </si>
  <si>
    <t>7.</t>
    <phoneticPr fontId="1" type="noConversion"/>
  </si>
  <si>
    <t>8.</t>
    <phoneticPr fontId="1" type="noConversion"/>
  </si>
  <si>
    <t>9.</t>
    <phoneticPr fontId="1" type="noConversion"/>
  </si>
  <si>
    <t>10.</t>
    <phoneticPr fontId="1" type="noConversion"/>
  </si>
  <si>
    <t>下述哪个数据不是Excel中的日期格式的数据</t>
    <phoneticPr fontId="1" type="noConversion"/>
  </si>
  <si>
    <t>一、单选题(每题2分）</t>
    <phoneticPr fontId="1" type="noConversion"/>
  </si>
  <si>
    <t>1989.12.31</t>
    <phoneticPr fontId="1" type="noConversion"/>
  </si>
  <si>
    <t>12-31-89</t>
    <phoneticPr fontId="1" type="noConversion"/>
  </si>
  <si>
    <t>一九八九年十二月三十一日</t>
    <phoneticPr fontId="1" type="noConversion"/>
  </si>
  <si>
    <t>1989年12月31日</t>
    <phoneticPr fontId="1" type="noConversion"/>
  </si>
  <si>
    <t>SUM（）</t>
    <phoneticPr fontId="1" type="noConversion"/>
  </si>
  <si>
    <t>AVERAGE（）</t>
    <phoneticPr fontId="1" type="noConversion"/>
  </si>
  <si>
    <t>COUNT（）</t>
    <phoneticPr fontId="1" type="noConversion"/>
  </si>
  <si>
    <t>在Excel中，若单元格引用随公式所在单元格位置的变化而改变，则称之为：</t>
    <phoneticPr fontId="1" type="noConversion"/>
  </si>
  <si>
    <t>下列Excel的表示中，属于绝对地址引用的是：</t>
    <phoneticPr fontId="1" type="noConversion"/>
  </si>
  <si>
    <t>评分</t>
    <phoneticPr fontId="1" type="noConversion"/>
  </si>
  <si>
    <t>A</t>
    <phoneticPr fontId="1" type="noConversion"/>
  </si>
  <si>
    <t>在Excel中，公式的定义必须以什么符号开头？</t>
    <phoneticPr fontId="1" type="noConversion"/>
  </si>
  <si>
    <t>&amp;</t>
    <phoneticPr fontId="1" type="noConversion"/>
  </si>
  <si>
    <t>$</t>
    <phoneticPr fontId="1" type="noConversion"/>
  </si>
  <si>
    <t>=</t>
    <phoneticPr fontId="1" type="noConversion"/>
  </si>
  <si>
    <t>在Excel文字处理时，强迫换行的方法是在需要换行的位置按哪一个快捷键？</t>
    <phoneticPr fontId="1" type="noConversion"/>
  </si>
  <si>
    <t>：</t>
    <phoneticPr fontId="1" type="noConversion"/>
  </si>
  <si>
    <t>Ctrl+Enter</t>
    <phoneticPr fontId="1" type="noConversion"/>
  </si>
  <si>
    <t>Ctrl+Tab</t>
    <phoneticPr fontId="1" type="noConversion"/>
  </si>
  <si>
    <t>Alt+Tab</t>
    <phoneticPr fontId="1" type="noConversion"/>
  </si>
  <si>
    <t>Alt+ Enter</t>
    <phoneticPr fontId="1" type="noConversion"/>
  </si>
  <si>
    <t>若要选定区域A1：C5和D3：E5，应：</t>
    <phoneticPr fontId="1" type="noConversion"/>
  </si>
  <si>
    <t>EXCEL水平测试（中级）</t>
    <phoneticPr fontId="1" type="noConversion"/>
  </si>
  <si>
    <t>按鼠标左键从A1拖动到C5，然后按鼠标左键从D3拖动到E5</t>
    <phoneticPr fontId="1" type="noConversion"/>
  </si>
  <si>
    <t>按鼠标左键从A1拖动到C5，然后按住Ctrl键，并按鼠标左键从D3拖动到E5</t>
    <phoneticPr fontId="1" type="noConversion"/>
  </si>
  <si>
    <t>按鼠标左键从A1拖动到C5，然后按住Shift键，并按鼠标左键从D3拖动到E5</t>
    <phoneticPr fontId="1" type="noConversion"/>
  </si>
  <si>
    <t>按鼠标左键从A1拖动到C5，然后按住Tab键，并按鼠标左键从D3拖动到E5</t>
    <phoneticPr fontId="1" type="noConversion"/>
  </si>
  <si>
    <t>自定义序列可以用什么命令来建立？</t>
    <phoneticPr fontId="1" type="noConversion"/>
  </si>
  <si>
    <t>开始菜单中的填充模块命令</t>
    <phoneticPr fontId="1" type="noConversion"/>
  </si>
  <si>
    <t>公式菜单中的名称管理器命令</t>
    <phoneticPr fontId="1" type="noConversion"/>
  </si>
  <si>
    <t>数据菜单中的创建组命令</t>
    <phoneticPr fontId="1" type="noConversion"/>
  </si>
  <si>
    <t>数据菜单中的排序命令</t>
    <phoneticPr fontId="1" type="noConversion"/>
  </si>
  <si>
    <t>用Excel创建一个学生成绩表, 要按照班级统计出某门课程的平均分, 需要使用的方式是：</t>
    <phoneticPr fontId="1" type="noConversion"/>
  </si>
  <si>
    <t>数据筛选</t>
    <phoneticPr fontId="1" type="noConversion"/>
  </si>
  <si>
    <t>排序</t>
    <phoneticPr fontId="1" type="noConversion"/>
  </si>
  <si>
    <t>合并计算</t>
    <phoneticPr fontId="1" type="noConversion"/>
  </si>
  <si>
    <t>分类汇总</t>
    <phoneticPr fontId="1" type="noConversion"/>
  </si>
  <si>
    <t>当在EXCEL中进行操作时，若某单元格中出现“#VALUE！”的信息时，其含义是：</t>
    <phoneticPr fontId="1" type="noConversion"/>
  </si>
  <si>
    <t>在公式单元格引用不再有效</t>
    <phoneticPr fontId="1" type="noConversion"/>
  </si>
  <si>
    <t>单元格中的数字太大</t>
    <phoneticPr fontId="1" type="noConversion"/>
  </si>
  <si>
    <t>计算结果太长超过了单元格宽度</t>
    <phoneticPr fontId="1" type="noConversion"/>
  </si>
  <si>
    <t>在公式中使用了错误的数据类型</t>
    <phoneticPr fontId="1" type="noConversion"/>
  </si>
  <si>
    <t>11.</t>
    <phoneticPr fontId="1" type="noConversion"/>
  </si>
  <si>
    <t>12.</t>
    <phoneticPr fontId="1" type="noConversion"/>
  </si>
  <si>
    <t>13.</t>
    <phoneticPr fontId="1" type="noConversion"/>
  </si>
  <si>
    <t>14.</t>
    <phoneticPr fontId="1" type="noConversion"/>
  </si>
  <si>
    <t>15.</t>
    <phoneticPr fontId="1" type="noConversion"/>
  </si>
  <si>
    <t>在Excel中，计算参数中所有数值的平均值的函数为：</t>
    <phoneticPr fontId="1" type="noConversion"/>
  </si>
  <si>
    <t>函数sumif(a1:a12,”=100”,g1:g12)的功能是：</t>
    <phoneticPr fontId="1" type="noConversion"/>
  </si>
  <si>
    <t>条件求和</t>
    <phoneticPr fontId="1" type="noConversion"/>
  </si>
  <si>
    <t>赋值求和</t>
    <phoneticPr fontId="1" type="noConversion"/>
  </si>
  <si>
    <t>条件记数</t>
    <phoneticPr fontId="1" type="noConversion"/>
  </si>
  <si>
    <t>赋值计数</t>
    <phoneticPr fontId="1" type="noConversion"/>
  </si>
  <si>
    <t>函数round的功能是：</t>
    <phoneticPr fontId="1" type="noConversion"/>
  </si>
  <si>
    <t>返回某个数字按指定位数取整后的数字</t>
    <phoneticPr fontId="1" type="noConversion"/>
  </si>
  <si>
    <t>返回某个数字按指定位数向下取整后的数字</t>
    <phoneticPr fontId="1" type="noConversion"/>
  </si>
  <si>
    <t>返回某个数字按指定位数向上取整后的数字</t>
    <phoneticPr fontId="1" type="noConversion"/>
  </si>
  <si>
    <t>四舍五入</t>
    <phoneticPr fontId="1" type="noConversion"/>
  </si>
  <si>
    <t>A</t>
    <phoneticPr fontId="1" type="noConversion"/>
  </si>
  <si>
    <t>Ceramic Insulation #124-TD45-87</t>
    <phoneticPr fontId="1" type="noConversion"/>
  </si>
  <si>
    <t>Copper Coils #12-671-6772</t>
    <phoneticPr fontId="1" type="noConversion"/>
  </si>
  <si>
    <t>Variable Resistors #116010</t>
    <phoneticPr fontId="1" type="noConversion"/>
  </si>
  <si>
    <t>Miriam McGovern</t>
    <phoneticPr fontId="1" type="noConversion"/>
  </si>
  <si>
    <t>在下面的工作表中，运行选项中的MID函数语句，所得结果错误的是：</t>
    <phoneticPr fontId="1" type="noConversion"/>
  </si>
  <si>
    <t>"=MID(A1,1,FIND(" #",A1,1)-1)"，返回结果“Ceramic Insulation”</t>
    <phoneticPr fontId="1" type="noConversion"/>
  </si>
  <si>
    <t>"=MID(A2,FIND("#",A2,1),LEN(A2)-FIND("#",A2,1)+1)"，返回结果“ #12-671-6772”</t>
    <phoneticPr fontId="1" type="noConversion"/>
  </si>
  <si>
    <t>“=MID(A3,FIND("R",A3,1),FIND("#",A3,1)-FIND("R",A3,1))”，返回结果“Resistors”</t>
    <phoneticPr fontId="1" type="noConversion"/>
  </si>
  <si>
    <t>“=MID(A4,18,10)”，返回结果“#VALUE!”</t>
    <phoneticPr fontId="1" type="noConversion"/>
  </si>
  <si>
    <t>使用IF函数设置</t>
    <phoneticPr fontId="1" type="noConversion"/>
  </si>
  <si>
    <t>使用批注命令</t>
    <phoneticPr fontId="1" type="noConversion"/>
  </si>
  <si>
    <t>使用条件格式命令</t>
    <phoneticPr fontId="1" type="noConversion"/>
  </si>
  <si>
    <t>使用数据验证功能</t>
    <phoneticPr fontId="1" type="noConversion"/>
  </si>
  <si>
    <t>下列对数据透视表描述错误的是：</t>
    <phoneticPr fontId="1" type="noConversion"/>
  </si>
  <si>
    <t>数据透视表处理数据的快照（称为缓存），因此不会以任何方式更改实际数据。</t>
    <phoneticPr fontId="1" type="noConversion"/>
  </si>
  <si>
    <t>数据透视表灵活度高，并且可根据所需的结果显示方式快速调整。</t>
    <phoneticPr fontId="1" type="noConversion"/>
  </si>
  <si>
    <t>创建好推荐的数据透视表后，可以继续重新排列字段来达到特定结果。</t>
    <phoneticPr fontId="1" type="noConversion"/>
  </si>
  <si>
    <t>数据透视表可以不依赖既有表格使用。</t>
    <phoneticPr fontId="1" type="noConversion"/>
  </si>
  <si>
    <t>二、</t>
    <phoneticPr fontId="1" type="noConversion"/>
  </si>
  <si>
    <t>16.</t>
    <phoneticPr fontId="1" type="noConversion"/>
  </si>
  <si>
    <t>请用一行公式计算下表的加权分数：</t>
    <phoneticPr fontId="1" type="noConversion"/>
  </si>
  <si>
    <t>B</t>
    <phoneticPr fontId="1" type="noConversion"/>
  </si>
  <si>
    <t>C</t>
    <phoneticPr fontId="1" type="noConversion"/>
  </si>
  <si>
    <t>权值</t>
    <phoneticPr fontId="1" type="noConversion"/>
  </si>
  <si>
    <t>分数</t>
    <phoneticPr fontId="1" type="noConversion"/>
  </si>
  <si>
    <t>？</t>
    <phoneticPr fontId="1" type="noConversion"/>
  </si>
  <si>
    <t>这一行公式为（请继续等号填写之后的内容）：   =</t>
    <phoneticPr fontId="1" type="noConversion"/>
  </si>
  <si>
    <t>17.</t>
    <phoneticPr fontId="1" type="noConversion"/>
  </si>
  <si>
    <t>18.</t>
  </si>
  <si>
    <t>19.</t>
  </si>
  <si>
    <t>20.</t>
  </si>
  <si>
    <t>21.</t>
  </si>
  <si>
    <t>22.</t>
  </si>
  <si>
    <t>B</t>
    <phoneticPr fontId="1" type="noConversion"/>
  </si>
  <si>
    <t>A</t>
    <phoneticPr fontId="1" type="noConversion"/>
  </si>
  <si>
    <t>D</t>
    <phoneticPr fontId="1" type="noConversion"/>
  </si>
  <si>
    <t>要对特定数据进行醒目的显示，下述方法哪一种可以实现？</t>
    <phoneticPr fontId="1" type="noConversion"/>
  </si>
  <si>
    <t>C</t>
    <phoneticPr fontId="1" type="noConversion"/>
  </si>
  <si>
    <t>SUMPRODUCT(A2:A10,B2:B10)</t>
    <phoneticPr fontId="1" type="noConversion"/>
  </si>
  <si>
    <t>A2*B2+A3*B3+A4*B4+A5*B5+A6*B6+A7*B7+A8*B8+A9*B9+A10*B10</t>
    <phoneticPr fontId="1" type="noConversion"/>
  </si>
  <si>
    <t>加权总分</t>
    <phoneticPr fontId="1" type="noConversion"/>
  </si>
  <si>
    <t>绝对量</t>
  </si>
  <si>
    <t>增长</t>
  </si>
  <si>
    <t>全国全社会用电量</t>
  </si>
  <si>
    <t>亿千瓦时</t>
  </si>
  <si>
    <t>其中:第一产业用电量</t>
  </si>
  <si>
    <t>指标名称</t>
    <phoneticPr fontId="1" type="noConversion"/>
  </si>
  <si>
    <t>第二产业用电量</t>
    <phoneticPr fontId="1" type="noConversion"/>
  </si>
  <si>
    <t>工业用电量</t>
    <phoneticPr fontId="1" type="noConversion"/>
  </si>
  <si>
    <t>轻工业用电量</t>
    <phoneticPr fontId="1" type="noConversion"/>
  </si>
  <si>
    <t>重工业用电量</t>
    <phoneticPr fontId="1" type="noConversion"/>
  </si>
  <si>
    <t>第三产业用电量</t>
    <phoneticPr fontId="1" type="noConversion"/>
  </si>
  <si>
    <t>城乡居民生活用电量</t>
    <phoneticPr fontId="1" type="noConversion"/>
  </si>
  <si>
    <t>F</t>
    <phoneticPr fontId="1" type="noConversion"/>
  </si>
  <si>
    <t>E</t>
    <phoneticPr fontId="1" type="noConversion"/>
  </si>
  <si>
    <t>计量单位</t>
    <phoneticPr fontId="1" type="noConversion"/>
  </si>
  <si>
    <t>需要启用宏再继续测试！</t>
    <phoneticPr fontId="1" type="noConversion"/>
  </si>
  <si>
    <t>填空题（每题10分）</t>
    <phoneticPr fontId="1" type="noConversion"/>
  </si>
  <si>
    <t>次答案</t>
    <phoneticPr fontId="1" type="noConversion"/>
  </si>
  <si>
    <t>入门</t>
    <phoneticPr fontId="1" type="noConversion"/>
  </si>
  <si>
    <t>销量</t>
    <phoneticPr fontId="1" type="noConversion"/>
  </si>
  <si>
    <t>平均售价</t>
    <phoneticPr fontId="1" type="noConversion"/>
  </si>
  <si>
    <t>销售金额</t>
    <phoneticPr fontId="1" type="noConversion"/>
  </si>
  <si>
    <t>固定成本</t>
    <phoneticPr fontId="1" type="noConversion"/>
  </si>
  <si>
    <t>变动成本</t>
    <phoneticPr fontId="1" type="noConversion"/>
  </si>
  <si>
    <t>利润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</si>
  <si>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</si>
  <si>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</si>
  <si>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</si>
  <si>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</si>
  <si>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</si>
  <si>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</si>
  <si>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某公司制做了如下的利润计算表，现在需要确定销售额多少才可以保本不亏。</t>
    <phoneticPr fontId="1" type="noConversion"/>
  </si>
  <si>
    <t>目标单元格：</t>
    <phoneticPr fontId="1" type="noConversion"/>
  </si>
  <si>
    <t>目标值：</t>
    <phoneticPr fontId="1" type="noConversion"/>
  </si>
  <si>
    <t>可变单元格：</t>
    <phoneticPr fontId="1" type="noConversion"/>
  </si>
  <si>
    <t>使用单变量求解进行计算，请按照需要填写下列内容：</t>
    <phoneticPr fontId="1" type="noConversion"/>
  </si>
  <si>
    <t>MEDIAN（）</t>
    <phoneticPr fontId="1" type="noConversion"/>
  </si>
  <si>
    <t>年份</t>
    <phoneticPr fontId="1" type="noConversion"/>
  </si>
  <si>
    <t>月份</t>
    <phoneticPr fontId="1" type="noConversion"/>
  </si>
  <si>
    <t>日期</t>
    <phoneticPr fontId="1" type="noConversion"/>
  </si>
  <si>
    <t>使用一行公式确定下表日期是星期几。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</si>
  <si>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</si>
  <si>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</si>
  <si>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</si>
  <si>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ALT</t>
    <phoneticPr fontId="1" type="noConversion"/>
  </si>
  <si>
    <t>SHIFT</t>
    <phoneticPr fontId="1" type="noConversion"/>
  </si>
  <si>
    <t>SPACE</t>
    <phoneticPr fontId="1" type="noConversion"/>
  </si>
  <si>
    <t>CapsLock</t>
    <phoneticPr fontId="1" type="noConversion"/>
  </si>
  <si>
    <t>TAB</t>
    <phoneticPr fontId="1" type="noConversion"/>
  </si>
  <si>
    <t>CTRL</t>
    <phoneticPr fontId="1" type="noConversion"/>
  </si>
  <si>
    <t>ESC</t>
    <phoneticPr fontId="1" type="noConversion"/>
  </si>
  <si>
    <t>BACKSPACE</t>
    <phoneticPr fontId="1" type="noConversion"/>
  </si>
  <si>
    <t>DEL</t>
    <phoneticPr fontId="1" type="noConversion"/>
  </si>
  <si>
    <t>ENTER</t>
    <phoneticPr fontId="1" type="noConversion"/>
  </si>
  <si>
    <t>销售人员</t>
    <phoneticPr fontId="1" type="noConversion"/>
  </si>
  <si>
    <t>汽车类型</t>
    <phoneticPr fontId="1" type="noConversion"/>
  </si>
  <si>
    <t>销售数量</t>
    <phoneticPr fontId="1" type="noConversion"/>
  </si>
  <si>
    <t>单价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</si>
  <si>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</si>
  <si>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</si>
  <si>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</si>
  <si>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刘鹏</t>
  </si>
  <si>
    <t>四门轿车</t>
  </si>
  <si>
    <t>双门轿车</t>
  </si>
  <si>
    <t>尹歌</t>
  </si>
  <si>
    <t>林彩瑜</t>
  </si>
  <si>
    <t>潘杰</t>
  </si>
  <si>
    <t>施德福</t>
  </si>
  <si>
    <t>潭思琪</t>
  </si>
  <si>
    <t>王伟</t>
  </si>
  <si>
    <t>杨威</t>
  </si>
  <si>
    <t>应用数组公式的方法按照要求处理下列数据：</t>
    <phoneticPr fontId="1" type="noConversion"/>
  </si>
  <si>
    <t>输入公示后需要使用什么快捷键激活公式？</t>
    <phoneticPr fontId="1" type="noConversion"/>
  </si>
  <si>
    <t>这组快捷键为：</t>
    <phoneticPr fontId="1" type="noConversion"/>
  </si>
  <si>
    <t>+</t>
    <phoneticPr fontId="1" type="noConversion"/>
  </si>
  <si>
    <t>识别码</t>
    <phoneticPr fontId="1" type="noConversion"/>
  </si>
  <si>
    <t>2L60</t>
  </si>
  <si>
    <t>_9S6</t>
  </si>
  <si>
    <t>5_x000B_G2</t>
  </si>
  <si>
    <t>764_x000E_</t>
  </si>
  <si>
    <t>.T81</t>
  </si>
  <si>
    <t>K4a3</t>
  </si>
  <si>
    <t>A</t>
    <phoneticPr fontId="1" type="noConversion"/>
  </si>
  <si>
    <t>计算双门轿车的销售总额（请填写等号后的内容）：=</t>
    <phoneticPr fontId="1" type="noConversion"/>
  </si>
  <si>
    <t>用Excel公式在一个单元格内生成不重复的4位数字、字母、符号混合的识别序列，形式可参考：</t>
    <phoneticPr fontId="1" type="noConversion"/>
  </si>
  <si>
    <t>使用怎样的公式，可以把序列按照如下形式分解：</t>
    <phoneticPr fontId="1" type="noConversion"/>
  </si>
  <si>
    <t>Record-high Norwegian hydropower generation and successful energy management</t>
    <phoneticPr fontId="1" type="noConversion"/>
  </si>
  <si>
    <t>词号</t>
    <phoneticPr fontId="1" type="noConversion"/>
  </si>
  <si>
    <t>序列/单词</t>
    <phoneticPr fontId="1" type="noConversion"/>
  </si>
  <si>
    <t>Record-high</t>
  </si>
  <si>
    <t>Norwegian</t>
  </si>
  <si>
    <t>hydropower</t>
  </si>
  <si>
    <t>generation</t>
  </si>
  <si>
    <t>and</t>
  </si>
  <si>
    <t>successful</t>
  </si>
  <si>
    <t>energy</t>
  </si>
  <si>
    <t>managemen</t>
  </si>
  <si>
    <t>相应的计算公式为（请填写等号后的内容）：=</t>
    <phoneticPr fontId="1" type="noConversion"/>
  </si>
  <si>
    <t>A</t>
    <phoneticPr fontId="1" type="noConversion"/>
  </si>
  <si>
    <t>B</t>
    <phoneticPr fontId="1" type="noConversion"/>
  </si>
  <si>
    <t>MID($A$2,IF(B3=1,1,LEN(A2)+FIND(A2,$A$2)+1),IF(B3=1,FIND(" ",$A$2)-1,IF(B3=8,LEN($A$2)-FIND(A2,$A$2)-LEN(A2)-1,FIND(" ",$A$2,FIND(A2,$A$2)+LEN(A2)+1)-FIND(A2,$A$2)-LEN(A2)-1)))</t>
    <phoneticPr fontId="1" type="noConversion"/>
  </si>
  <si>
    <t>（请填写单元格A3等号后的内容）=</t>
    <phoneticPr fontId="1" type="noConversion"/>
  </si>
  <si>
    <t>把A2的文字段落按照A3:A10的样子分解，借助词号列和单元格填充柄的帮助来完成，请写出起始单元格A3的公式。</t>
    <phoneticPr fontId="1" type="noConversion"/>
  </si>
  <si>
    <t>使用Excel2013+VBA制作，兼容Office2013 Excel以上版本。</t>
    <phoneticPr fontId="1" type="noConversion"/>
  </si>
  <si>
    <t>测试相关试题遵守 CC BY-NC-SA 4.0 协议 由 @sidneyzhang 制作</t>
    <phoneticPr fontId="1" type="noConversion"/>
  </si>
  <si>
    <t>测试相关VBA程序遵守MIT许可协议 由 @sidneyzhang 制作</t>
    <phoneticPr fontId="1" type="noConversion"/>
  </si>
  <si>
    <t>相对总量</t>
    <phoneticPr fontId="1" type="noConversion"/>
  </si>
  <si>
    <t>绝对增长</t>
    <phoneticPr fontId="1" type="noConversion"/>
  </si>
  <si>
    <t>请用一行公式查找下表中工业用电量的增长：</t>
    <phoneticPr fontId="1" type="noConversion"/>
  </si>
  <si>
    <t>VLOOKUP("工业用电量",A2:F9,6)</t>
    <phoneticPr fontId="1" type="noConversion"/>
  </si>
  <si>
    <t>F2</t>
    <phoneticPr fontId="1" type="noConversion"/>
  </si>
  <si>
    <t>B2</t>
    <phoneticPr fontId="1" type="noConversion"/>
  </si>
  <si>
    <t>WEEKDAY(DATE(A2,B2,C2),1)</t>
    <phoneticPr fontId="1" type="noConversion"/>
  </si>
  <si>
    <t>WEEKDAY(DATE(A2,B2,C2))</t>
    <phoneticPr fontId="1" type="noConversion"/>
  </si>
  <si>
    <t>CTRL</t>
    <phoneticPr fontId="1" type="noConversion"/>
  </si>
  <si>
    <t>SHIFT</t>
    <phoneticPr fontId="1" type="noConversion"/>
  </si>
  <si>
    <t>ENTER</t>
    <phoneticPr fontId="1" type="noConversion"/>
  </si>
  <si>
    <t>IF(RAND()&lt;0.5,INT(RAND()*10),CHAR(RAND()*100))&amp;IF(RAND()&lt;0.5,INT(RAND()*10),CHAR(RAND()*100))&amp;IF(RAND()&lt;0.5,INT(RAND()*10),CHAR(RAND()*100))&amp;IF(RAND()&lt;0.5,INT(RAND()*10),CHAR(RAND()*100))</t>
    <phoneticPr fontId="1" type="noConversion"/>
  </si>
  <si>
    <t>注释：字符值在1~100之间进行随机。</t>
    <phoneticPr fontId="1" type="noConversion"/>
  </si>
  <si>
    <t>SUM(IF(B2:B17="双门轿车",C2:C17*D2:D17))</t>
    <phoneticPr fontId="1" type="noConversion"/>
  </si>
  <si>
    <t>标准分</t>
    <phoneticPr fontId="1" type="noConversion"/>
  </si>
  <si>
    <t>CONCATENATE(IF(RAND()&lt;0.5,INT(RAND()*10),CHAR(RAND()*100)),IF(RAND()&lt;0.5,INT(RAND()*10),CHAR(RAND()*100)),IF(RAND()&lt;0.5,INT(RAND()*10),CHAR(RAND()*100)),IF(RAND()&lt;0.5,INT(RAND()*10),CHAR(RAND()*100)))</t>
    <phoneticPr fontId="1" type="noConversion"/>
  </si>
  <si>
    <t>CONCATENATE(IF(RAND()&lt;0.5,CHAR(RAND()*100),INT(RAND()*10)),IF(RAND()&lt;0.5,CHAR(RAND()*100),INT(RAND()*10)),IF(RAND()&lt;0.5,CHAR(RAND()*100),INT(RAND()*10)),IF(RAND()&lt;0.5,CHAR(RAND()*100),INT(RAND()*10)))</t>
    <phoneticPr fontId="1" type="noConversion"/>
  </si>
  <si>
    <t>总体满分100分，65分以上为通过测试。测试时间为50分钟。</t>
    <phoneticPr fontId="1" type="noConversion"/>
  </si>
  <si>
    <t>C3*D3+C5*D5+C7*D7+C9*D9+C11*D11+C13*D13+C15*D15+C17*D17</t>
    <phoneticPr fontId="1" type="noConversion"/>
  </si>
  <si>
    <t>IF(RAND()&lt;0.5,CHAR(RAND()*100),INT(RAND()*10))&amp;IF(RAND()&lt;0.5,CHAR(RAND()*100),INT(RAND()*10))&amp;IF(RAND()&lt;0.5,CHAR(RAND()*100),INT(RAND()*10))&amp;IF(RAND()&lt;0.5,CHAR(RAND()*100),INT(RAND()*10))</t>
    <phoneticPr fontId="1" type="noConversion"/>
  </si>
  <si>
    <t>IF(RAND()&lt;0.5,CHAR(RANDBETWEEN(1,100)),INT(RAND()*10))&amp;IF(RAND()&lt;0.5,CHAR(RANDBETWEEN(1,100)),INT(RAND()*10))&amp;IF(RAND()&lt;0.5,CHAR(RANDBETWEEN(1,100)),INT(RAND()*10))&amp;IF(RAND()&lt;0.5,CHAR(RANDBETWEEN(1,100)),INT(RAND()*10))</t>
    <phoneticPr fontId="1" type="noConversion"/>
  </si>
  <si>
    <t>CONCATENATE(IF(RAND()&lt;0.5,CHAR(RANDBETWEEN(1,100)),INT(RAND()*10)),IF(RAND()&lt;0.5,CHAR(RANDBETWEEN(1,100)),INT(RAND()*10)),IF(RAND()&lt;0.5,CHAR(RANDBETWEEN(1,100)),INT(RAND()*10)),IF(RAND()&lt;0.5,CHAR(RANDBETWEEN(1,100)),INT(RAND()*10)))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</si>
</sst>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804]aaaa;@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i/>
      <sz val="9"/>
      <color theme="1"/>
      <name val="等线"/>
      <family val="3"/>
      <charset val="134"/>
    </font>
    <font>
      <sz val="11"/>
      <color theme="1"/>
      <name val="等线"/>
      <family val="3"/>
      <charset val="134"/>
    </font>
    <font>
      <sz val="11"/>
      <name val="等线"/>
      <family val="3"/>
      <charset val="134"/>
    </font>
    <font>
      <b/>
      <i/>
      <sz val="9"/>
      <color theme="1"/>
      <name val="等线"/>
      <family val="3"/>
      <charset val="134"/>
    </font>
    <font>
      <b/>
      <sz val="11"/>
      <color theme="1"/>
      <name val="等线"/>
      <family val="3"/>
      <charset val="134"/>
    </font>
    <font>
      <b/>
      <sz val="22"/>
      <color theme="1"/>
      <name val="微软雅黑"/>
      <family val="2"/>
      <charset val="134"/>
    </font>
    <font>
      <sz val="8"/>
      <color theme="2" tint="-0.499984740745262"/>
      <name val="等线"/>
      <family val="3"/>
      <charset val="134"/>
    </font>
    <font>
      <b/>
      <sz val="11"/>
      <color theme="1"/>
      <name val="Wingdings"/>
      <charset val="2"/>
    </font>
    <font>
      <b/>
      <sz val="10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2" borderId="0" xfId="0" quotePrefix="1" applyFont="1" applyFill="1">
      <alignment vertical="center"/>
    </xf>
    <xf numFmtId="0" fontId="4" fillId="2" borderId="0" xfId="0" applyFont="1" applyFill="1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0" xfId="0" quotePrefix="1" applyFont="1" applyFill="1" applyAlignment="1">
      <alignment horizontal="left" vertical="center"/>
    </xf>
    <xf numFmtId="31" fontId="3" fillId="2" borderId="0" xfId="0" quotePrefix="1" applyNumberFormat="1" applyFont="1" applyFill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quotePrefix="1" applyFont="1" applyFill="1" applyBorder="1" applyAlignment="1">
      <alignment horizontal="right"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9" fontId="3" fillId="2" borderId="8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0" xfId="0" quotePrefix="1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3" fillId="2" borderId="9" xfId="0" applyFont="1" applyFill="1" applyBorder="1">
      <alignment vertical="center"/>
    </xf>
    <xf numFmtId="0" fontId="6" fillId="2" borderId="0" xfId="0" applyFont="1" applyFill="1" applyAlignment="1">
      <alignment horizontal="center" vertical="center"/>
    </xf>
    <xf numFmtId="0" fontId="3" fillId="2" borderId="8" xfId="0" applyFont="1" applyFill="1" applyBorder="1">
      <alignment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right" vertical="center"/>
    </xf>
    <xf numFmtId="0" fontId="7" fillId="2" borderId="0" xfId="0" applyFont="1" applyFill="1" applyAlignment="1">
      <alignment horizontal="left" vertical="center"/>
    </xf>
    <xf numFmtId="176" fontId="3" fillId="2" borderId="0" xfId="0" applyNumberFormat="1" applyFont="1" applyFill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2" borderId="0" xfId="0" quotePrefix="1" applyFont="1" applyFill="1">
      <alignment vertical="center"/>
    </xf>
    <xf numFmtId="0" fontId="9" fillId="2" borderId="0" xfId="0" applyFont="1" applyFill="1">
      <alignment vertical="center"/>
    </xf>
    <xf numFmtId="0" fontId="9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 vertical="center" wrapText="1"/>
    </xf>
    <xf numFmtId="0" fontId="3" fillId="2" borderId="9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b/>
        <i val="0"/>
        <color theme="0" tint="-0.14996795556505021"/>
      </font>
      <fill>
        <patternFill>
          <bgColor rgb="FFC00000"/>
        </patternFill>
      </fill>
    </dxf>
    <dxf>
      <font>
        <b/>
        <i val="0"/>
        <color theme="0" tint="-0.14996795556505021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2</xdr:col>
          <xdr:colOff>1171575</xdr:colOff>
          <xdr:row>8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开始考试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9525</xdr:rowOff>
        </xdr:from>
        <xdr:to>
          <xdr:col>2</xdr:col>
          <xdr:colOff>1171575</xdr:colOff>
          <xdr:row>10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完成答题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161925</xdr:rowOff>
        </xdr:from>
        <xdr:to>
          <xdr:col>5</xdr:col>
          <xdr:colOff>485775</xdr:colOff>
          <xdr:row>10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显示错题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6</xdr:row>
          <xdr:rowOff>114300</xdr:rowOff>
        </xdr:from>
        <xdr:to>
          <xdr:col>5</xdr:col>
          <xdr:colOff>495300</xdr:colOff>
          <xdr:row>7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pensource.org/licenses/mit-license.php" TargetMode="External"/><Relationship Id="rId1" Type="http://schemas.openxmlformats.org/officeDocument/2006/relationships/hyperlink" Target="https://creativecommons.org/licenses/by-nc-sa/4.0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N223"/>
  <sheetViews>
    <sheetView tabSelected="1" zoomScaleNormal="100" workbookViewId="0"/>
  </sheetViews>
  <sheetFormatPr defaultRowHeight="14.25" x14ac:dyDescent="0.15"/>
  <cols>
    <col min="1" max="1" width="9" style="1"/>
    <col min="2" max="2" width="3.875" style="1" customWidth="1"/>
    <col min="3" max="3" width="30.875" style="1" customWidth="1"/>
    <col min="4" max="4" width="9.75" style="1" customWidth="1"/>
    <col min="5" max="5" width="9" style="1"/>
    <col min="6" max="6" width="23.25" style="1" customWidth="1"/>
    <col min="7" max="7" width="8.5" style="1" customWidth="1"/>
    <col min="8" max="8" width="11.625" style="1" bestFit="1" customWidth="1"/>
    <col min="9" max="9" width="4.25" style="1" customWidth="1"/>
    <col min="10" max="10" width="4.25" style="39" customWidth="1"/>
    <col min="11" max="11" width="9" style="41" customWidth="1"/>
    <col min="12" max="12" width="9" style="1"/>
    <col min="13" max="13" width="9" style="4"/>
    <col min="14" max="16384" width="9" style="1"/>
  </cols>
  <sheetData>
    <row r="3" spans="2:10" ht="31.5" x14ac:dyDescent="0.15">
      <c r="B3" s="34" t="s">
        <v>55</v>
      </c>
      <c r="I3" s="2"/>
      <c r="J3" s="38"/>
    </row>
    <row r="5" spans="2:10" x14ac:dyDescent="0.15">
      <c r="B5" s="5" t="s">
        <v>148</v>
      </c>
    </row>
    <row r="6" spans="2:10" x14ac:dyDescent="0.15">
      <c r="B6" s="6" t="s">
        <v>256</v>
      </c>
    </row>
    <row r="7" spans="2:10" x14ac:dyDescent="0.15">
      <c r="B7" s="6"/>
    </row>
    <row r="8" spans="2:10" x14ac:dyDescent="0.15">
      <c r="B8" s="6"/>
    </row>
    <row r="9" spans="2:10" x14ac:dyDescent="0.15">
      <c r="B9" s="6"/>
    </row>
    <row r="10" spans="2:10" x14ac:dyDescent="0.15">
      <c r="B10" s="6"/>
    </row>
    <row r="11" spans="2:10" x14ac:dyDescent="0.15">
      <c r="B11" s="6"/>
    </row>
    <row r="12" spans="2:10" x14ac:dyDescent="0.15">
      <c r="B12" s="6"/>
    </row>
    <row r="13" spans="2:10" x14ac:dyDescent="0.15">
      <c r="B13" s="6"/>
      <c r="C13" s="1" t="str">
        <f>IF(SELABAS!B13,"测试成绩：","")</f>
        <v/>
      </c>
      <c r="D13" s="1" t="str">
        <f>IF(SELABAS!B13,SUM(SELABAS!J4:J31),"")</f>
        <v/>
      </c>
      <c r="E13" s="1" t="str">
        <f>IF(SELABAS!B13,IF(D13&gt;=65,"合格","不合格"),"")</f>
        <v/>
      </c>
    </row>
    <row r="14" spans="2:10" x14ac:dyDescent="0.15">
      <c r="B14" s="6"/>
    </row>
    <row r="15" spans="2:10" x14ac:dyDescent="0.15">
      <c r="B15" s="6"/>
    </row>
    <row r="17" spans="2:11" hidden="1" x14ac:dyDescent="0.15">
      <c r="B17" s="1" t="s">
        <v>32</v>
      </c>
    </row>
    <row r="18" spans="2:11" hidden="1" x14ac:dyDescent="0.15">
      <c r="B18" s="2" t="s">
        <v>4</v>
      </c>
      <c r="C18" s="7" t="s">
        <v>41</v>
      </c>
      <c r="G18" s="8" t="s">
        <v>5</v>
      </c>
      <c r="I18" s="1" t="s">
        <v>6</v>
      </c>
      <c r="J18" s="39" t="str">
        <f>IF(SELABAS!B13,IF(SELABAS!J4=0,"O",IF(SELABAS!J4=SELABAS!K4,"P","N")),"")</f>
        <v/>
      </c>
      <c r="K18" s="41" t="str">
        <f>IF(SELABAS!B13,SELABAS!F4,"")</f>
        <v/>
      </c>
    </row>
    <row r="19" spans="2:11" hidden="1" x14ac:dyDescent="0.15">
      <c r="B19" s="8" t="s">
        <v>7</v>
      </c>
      <c r="C19" s="2" t="s">
        <v>11</v>
      </c>
    </row>
    <row r="20" spans="2:11" hidden="1" x14ac:dyDescent="0.15">
      <c r="B20" s="8" t="s">
        <v>8</v>
      </c>
      <c r="C20" s="2" t="s">
        <v>12</v>
      </c>
    </row>
    <row r="21" spans="2:11" hidden="1" x14ac:dyDescent="0.15">
      <c r="B21" s="8" t="s">
        <v>9</v>
      </c>
      <c r="C21" s="1" t="s">
        <v>13</v>
      </c>
    </row>
    <row r="22" spans="2:11" hidden="1" x14ac:dyDescent="0.15">
      <c r="B22" s="8" t="s">
        <v>10</v>
      </c>
      <c r="C22" s="2" t="s">
        <v>14</v>
      </c>
    </row>
    <row r="23" spans="2:11" hidden="1" x14ac:dyDescent="0.15">
      <c r="B23" s="9" t="s">
        <v>15</v>
      </c>
      <c r="C23" s="1" t="s">
        <v>40</v>
      </c>
      <c r="G23" s="8" t="s">
        <v>5</v>
      </c>
      <c r="I23" s="1" t="s">
        <v>6</v>
      </c>
      <c r="J23" s="39" t="str">
        <f>IF(SELABAS!B13,IF(SELABAS!J5=0,"O",IF(SELABAS!J5=SELABAS!K5,"P","N")),"")</f>
        <v/>
      </c>
      <c r="K23" s="41" t="str">
        <f>IF(SELABAS!B13,SELABAS!F5,"")</f>
        <v/>
      </c>
    </row>
    <row r="24" spans="2:11" hidden="1" x14ac:dyDescent="0.15">
      <c r="B24" s="8" t="s">
        <v>7</v>
      </c>
      <c r="C24" s="1" t="s">
        <v>16</v>
      </c>
    </row>
    <row r="25" spans="2:11" hidden="1" x14ac:dyDescent="0.15">
      <c r="B25" s="8" t="s">
        <v>8</v>
      </c>
      <c r="C25" s="1" t="s">
        <v>17</v>
      </c>
    </row>
    <row r="26" spans="2:11" hidden="1" x14ac:dyDescent="0.15">
      <c r="B26" s="8" t="s">
        <v>9</v>
      </c>
      <c r="C26" s="1" t="s">
        <v>18</v>
      </c>
    </row>
    <row r="27" spans="2:11" hidden="1" x14ac:dyDescent="0.15">
      <c r="B27" s="8" t="s">
        <v>10</v>
      </c>
      <c r="C27" s="1" t="s">
        <v>19</v>
      </c>
    </row>
    <row r="28" spans="2:11" hidden="1" x14ac:dyDescent="0.15">
      <c r="B28" s="9" t="s">
        <v>23</v>
      </c>
      <c r="C28" s="1" t="s">
        <v>31</v>
      </c>
      <c r="G28" s="8" t="s">
        <v>5</v>
      </c>
      <c r="I28" s="1" t="s">
        <v>6</v>
      </c>
      <c r="J28" s="39" t="str">
        <f>IF(SELABAS!B13,IF(SELABAS!J6=0,"O",IF(SELABAS!J6=SELABAS!K6,"P","N")),"")</f>
        <v/>
      </c>
      <c r="K28" s="41" t="str">
        <f>IF(SELABAS!B13,SELABAS!F6,"")</f>
        <v/>
      </c>
    </row>
    <row r="29" spans="2:11" hidden="1" x14ac:dyDescent="0.15">
      <c r="B29" s="8" t="s">
        <v>7</v>
      </c>
      <c r="C29" s="10" t="s">
        <v>36</v>
      </c>
    </row>
    <row r="30" spans="2:11" hidden="1" x14ac:dyDescent="0.15">
      <c r="B30" s="8" t="s">
        <v>8</v>
      </c>
      <c r="C30" s="2" t="s">
        <v>33</v>
      </c>
    </row>
    <row r="31" spans="2:11" hidden="1" x14ac:dyDescent="0.15">
      <c r="B31" s="8" t="s">
        <v>9</v>
      </c>
      <c r="C31" s="2" t="s">
        <v>34</v>
      </c>
    </row>
    <row r="32" spans="2:11" hidden="1" x14ac:dyDescent="0.15">
      <c r="B32" s="8" t="s">
        <v>10</v>
      </c>
      <c r="C32" s="1" t="s">
        <v>35</v>
      </c>
    </row>
    <row r="33" spans="2:11" hidden="1" x14ac:dyDescent="0.15">
      <c r="B33" s="9" t="s">
        <v>24</v>
      </c>
      <c r="C33" s="1" t="s">
        <v>80</v>
      </c>
      <c r="G33" s="8" t="s">
        <v>5</v>
      </c>
      <c r="I33" s="1" t="s">
        <v>6</v>
      </c>
      <c r="J33" s="39" t="str">
        <f>IF(SELABAS!B13,IF(SELABAS!J7=0,"O",IF(SELABAS!J7=SELABAS!K7,"P","N")),"")</f>
        <v/>
      </c>
      <c r="K33" s="41" t="str">
        <f>IF(SELABAS!B13,SELABAS!F7,"")</f>
        <v/>
      </c>
    </row>
    <row r="34" spans="2:11" hidden="1" x14ac:dyDescent="0.15">
      <c r="B34" s="8" t="s">
        <v>7</v>
      </c>
      <c r="C34" s="1" t="s">
        <v>37</v>
      </c>
    </row>
    <row r="35" spans="2:11" hidden="1" x14ac:dyDescent="0.15">
      <c r="B35" s="8" t="s">
        <v>8</v>
      </c>
      <c r="C35" s="1" t="s">
        <v>38</v>
      </c>
    </row>
    <row r="36" spans="2:11" hidden="1" x14ac:dyDescent="0.15">
      <c r="B36" s="8" t="s">
        <v>9</v>
      </c>
      <c r="C36" s="1" t="s">
        <v>39</v>
      </c>
    </row>
    <row r="37" spans="2:11" hidden="1" x14ac:dyDescent="0.15">
      <c r="B37" s="8" t="s">
        <v>10</v>
      </c>
      <c r="C37" s="1" t="s">
        <v>169</v>
      </c>
    </row>
    <row r="38" spans="2:11" hidden="1" x14ac:dyDescent="0.15">
      <c r="B38" s="9" t="s">
        <v>25</v>
      </c>
      <c r="C38" s="1" t="s">
        <v>44</v>
      </c>
      <c r="G38" s="8" t="s">
        <v>5</v>
      </c>
      <c r="I38" s="1" t="s">
        <v>6</v>
      </c>
      <c r="J38" s="40" t="str">
        <f>IF(SELABAS!B13,IF(SELABAS!J8=0,"O",IF(SELABAS!J8=SELABAS!K8,"P","N")),"")</f>
        <v/>
      </c>
      <c r="K38" s="41" t="str">
        <f>IF(SELABAS!B13,SELABAS!F8,"")</f>
        <v/>
      </c>
    </row>
    <row r="39" spans="2:11" hidden="1" x14ac:dyDescent="0.15">
      <c r="B39" s="8" t="s">
        <v>7</v>
      </c>
      <c r="C39" s="2" t="s">
        <v>45</v>
      </c>
    </row>
    <row r="40" spans="2:11" hidden="1" x14ac:dyDescent="0.15">
      <c r="B40" s="8" t="s">
        <v>8</v>
      </c>
      <c r="C40" s="2" t="s">
        <v>46</v>
      </c>
    </row>
    <row r="41" spans="2:11" hidden="1" x14ac:dyDescent="0.15">
      <c r="B41" s="8" t="s">
        <v>9</v>
      </c>
      <c r="C41" s="2" t="s">
        <v>49</v>
      </c>
    </row>
    <row r="42" spans="2:11" hidden="1" x14ac:dyDescent="0.15">
      <c r="B42" s="8" t="s">
        <v>10</v>
      </c>
      <c r="C42" s="2" t="s">
        <v>47</v>
      </c>
    </row>
    <row r="43" spans="2:11" hidden="1" x14ac:dyDescent="0.15">
      <c r="B43" s="9" t="s">
        <v>26</v>
      </c>
      <c r="C43" s="1" t="s">
        <v>48</v>
      </c>
      <c r="G43" s="8" t="s">
        <v>5</v>
      </c>
      <c r="I43" s="1" t="s">
        <v>6</v>
      </c>
      <c r="J43" s="39" t="str">
        <f>IF(SELABAS!B13,IF(SELABAS!J9=0,"O",IF(SELABAS!J9=SELABAS!K9,"P","N")),"")</f>
        <v/>
      </c>
      <c r="K43" s="41" t="str">
        <f>IF(SELABAS!B13,SELABAS!F9,"")</f>
        <v/>
      </c>
    </row>
    <row r="44" spans="2:11" hidden="1" x14ac:dyDescent="0.15">
      <c r="B44" s="8" t="s">
        <v>7</v>
      </c>
      <c r="C44" s="1" t="s">
        <v>50</v>
      </c>
    </row>
    <row r="45" spans="2:11" hidden="1" x14ac:dyDescent="0.15">
      <c r="B45" s="8" t="s">
        <v>8</v>
      </c>
      <c r="C45" s="1" t="s">
        <v>51</v>
      </c>
    </row>
    <row r="46" spans="2:11" hidden="1" x14ac:dyDescent="0.15">
      <c r="B46" s="8" t="s">
        <v>9</v>
      </c>
      <c r="C46" s="1" t="s">
        <v>52</v>
      </c>
    </row>
    <row r="47" spans="2:11" hidden="1" x14ac:dyDescent="0.15">
      <c r="B47" s="8" t="s">
        <v>10</v>
      </c>
      <c r="C47" s="1" t="s">
        <v>53</v>
      </c>
    </row>
    <row r="48" spans="2:11" hidden="1" x14ac:dyDescent="0.15">
      <c r="B48" s="9" t="s">
        <v>27</v>
      </c>
      <c r="C48" s="1" t="s">
        <v>54</v>
      </c>
      <c r="G48" s="8" t="s">
        <v>5</v>
      </c>
      <c r="I48" s="1" t="s">
        <v>6</v>
      </c>
      <c r="J48" s="39" t="str">
        <f>IF(SELABAS!B13,IF(SELABAS!J10=0,"O",IF(SELABAS!J10=SELABAS!K10,"P","N")),"")</f>
        <v/>
      </c>
      <c r="K48" s="41" t="str">
        <f>IF(SELABAS!B13,SELABAS!F10,"")</f>
        <v/>
      </c>
    </row>
    <row r="49" spans="2:11" hidden="1" x14ac:dyDescent="0.15">
      <c r="B49" s="8" t="s">
        <v>7</v>
      </c>
      <c r="C49" s="1" t="s">
        <v>56</v>
      </c>
    </row>
    <row r="50" spans="2:11" hidden="1" x14ac:dyDescent="0.15">
      <c r="B50" s="8" t="s">
        <v>8</v>
      </c>
      <c r="C50" s="1" t="s">
        <v>57</v>
      </c>
    </row>
    <row r="51" spans="2:11" hidden="1" x14ac:dyDescent="0.15">
      <c r="B51" s="8" t="s">
        <v>9</v>
      </c>
      <c r="C51" s="1" t="s">
        <v>58</v>
      </c>
    </row>
    <row r="52" spans="2:11" hidden="1" x14ac:dyDescent="0.15">
      <c r="B52" s="8" t="s">
        <v>10</v>
      </c>
      <c r="C52" s="1" t="s">
        <v>59</v>
      </c>
    </row>
    <row r="53" spans="2:11" hidden="1" x14ac:dyDescent="0.15">
      <c r="B53" s="9" t="s">
        <v>28</v>
      </c>
      <c r="C53" s="1" t="s">
        <v>60</v>
      </c>
      <c r="G53" s="8" t="s">
        <v>5</v>
      </c>
      <c r="I53" s="1" t="s">
        <v>6</v>
      </c>
      <c r="J53" s="39" t="str">
        <f>IF(SELABAS!B13,IF(SELABAS!J11=0,"O",IF(SELABAS!J11=SELABAS!K11,"P","N")),"")</f>
        <v/>
      </c>
      <c r="K53" s="41" t="str">
        <f>IF(SELABAS!B13,SELABAS!F11,"")</f>
        <v/>
      </c>
    </row>
    <row r="54" spans="2:11" hidden="1" x14ac:dyDescent="0.15">
      <c r="B54" s="8" t="s">
        <v>7</v>
      </c>
      <c r="C54" s="1" t="s">
        <v>61</v>
      </c>
    </row>
    <row r="55" spans="2:11" hidden="1" x14ac:dyDescent="0.15">
      <c r="B55" s="8" t="s">
        <v>8</v>
      </c>
      <c r="C55" s="1" t="s">
        <v>62</v>
      </c>
    </row>
    <row r="56" spans="2:11" hidden="1" x14ac:dyDescent="0.15">
      <c r="B56" s="8" t="s">
        <v>9</v>
      </c>
      <c r="C56" s="1" t="s">
        <v>63</v>
      </c>
    </row>
    <row r="57" spans="2:11" hidden="1" x14ac:dyDescent="0.15">
      <c r="B57" s="8" t="s">
        <v>10</v>
      </c>
      <c r="C57" s="1" t="s">
        <v>64</v>
      </c>
    </row>
    <row r="58" spans="2:11" hidden="1" x14ac:dyDescent="0.15">
      <c r="B58" s="9" t="s">
        <v>29</v>
      </c>
      <c r="C58" s="1" t="s">
        <v>65</v>
      </c>
      <c r="G58" s="8" t="s">
        <v>5</v>
      </c>
      <c r="I58" s="1" t="s">
        <v>6</v>
      </c>
      <c r="J58" s="39" t="str">
        <f>IF(SELABAS!B13,IF(SELABAS!J12=0,"O",IF(SELABAS!J12=SELABAS!K12,"P","N")),"")</f>
        <v/>
      </c>
      <c r="K58" s="41" t="str">
        <f>IF(SELABAS!B13,SELABAS!F12,"")</f>
        <v/>
      </c>
    </row>
    <row r="59" spans="2:11" hidden="1" x14ac:dyDescent="0.15">
      <c r="B59" s="8" t="s">
        <v>7</v>
      </c>
      <c r="C59" s="1" t="s">
        <v>66</v>
      </c>
    </row>
    <row r="60" spans="2:11" hidden="1" x14ac:dyDescent="0.15">
      <c r="B60" s="8" t="s">
        <v>8</v>
      </c>
      <c r="C60" s="1" t="s">
        <v>67</v>
      </c>
    </row>
    <row r="61" spans="2:11" hidden="1" x14ac:dyDescent="0.15">
      <c r="B61" s="8" t="s">
        <v>9</v>
      </c>
      <c r="C61" s="1" t="s">
        <v>68</v>
      </c>
    </row>
    <row r="62" spans="2:11" hidden="1" x14ac:dyDescent="0.15">
      <c r="B62" s="8" t="s">
        <v>10</v>
      </c>
      <c r="C62" s="1" t="s">
        <v>69</v>
      </c>
    </row>
    <row r="63" spans="2:11" hidden="1" x14ac:dyDescent="0.15">
      <c r="B63" s="9" t="s">
        <v>30</v>
      </c>
      <c r="C63" s="1" t="s">
        <v>70</v>
      </c>
      <c r="G63" s="8" t="s">
        <v>5</v>
      </c>
      <c r="I63" s="1" t="s">
        <v>6</v>
      </c>
      <c r="J63" s="39" t="str">
        <f>IF(SELABAS!B13,IF(SELABAS!J13=0,"O",IF(SELABAS!J13=SELABAS!K13,"P","N")),"")</f>
        <v/>
      </c>
      <c r="K63" s="41" t="str">
        <f>IF(SELABAS!B13,SELABAS!F13,"")</f>
        <v/>
      </c>
    </row>
    <row r="64" spans="2:11" hidden="1" x14ac:dyDescent="0.15">
      <c r="B64" s="8" t="s">
        <v>7</v>
      </c>
      <c r="C64" s="1" t="s">
        <v>71</v>
      </c>
    </row>
    <row r="65" spans="2:11" hidden="1" x14ac:dyDescent="0.15">
      <c r="B65" s="8" t="s">
        <v>8</v>
      </c>
      <c r="C65" s="1" t="s">
        <v>72</v>
      </c>
    </row>
    <row r="66" spans="2:11" hidden="1" x14ac:dyDescent="0.15">
      <c r="B66" s="8" t="s">
        <v>9</v>
      </c>
      <c r="C66" s="1" t="s">
        <v>73</v>
      </c>
    </row>
    <row r="67" spans="2:11" hidden="1" x14ac:dyDescent="0.15">
      <c r="B67" s="8" t="s">
        <v>10</v>
      </c>
      <c r="C67" s="1" t="s">
        <v>74</v>
      </c>
    </row>
    <row r="68" spans="2:11" hidden="1" x14ac:dyDescent="0.15">
      <c r="B68" s="9" t="s">
        <v>75</v>
      </c>
      <c r="C68" s="1" t="s">
        <v>81</v>
      </c>
      <c r="G68" s="8" t="s">
        <v>5</v>
      </c>
      <c r="I68" s="1" t="s">
        <v>6</v>
      </c>
      <c r="J68" s="39" t="str">
        <f>IF(SELABAS!B13,IF(SELABAS!J14=0,"O",IF(SELABAS!J14=SELABAS!K14,"P","N")),"")</f>
        <v/>
      </c>
      <c r="K68" s="41" t="str">
        <f>IF(SELABAS!B13,SELABAS!F14,"")</f>
        <v/>
      </c>
    </row>
    <row r="69" spans="2:11" hidden="1" x14ac:dyDescent="0.15">
      <c r="B69" s="8" t="s">
        <v>7</v>
      </c>
      <c r="C69" s="1" t="s">
        <v>85</v>
      </c>
    </row>
    <row r="70" spans="2:11" hidden="1" x14ac:dyDescent="0.15">
      <c r="B70" s="8" t="s">
        <v>8</v>
      </c>
      <c r="C70" s="1" t="s">
        <v>84</v>
      </c>
    </row>
    <row r="71" spans="2:11" hidden="1" x14ac:dyDescent="0.15">
      <c r="B71" s="8" t="s">
        <v>9</v>
      </c>
      <c r="C71" s="1" t="s">
        <v>82</v>
      </c>
    </row>
    <row r="72" spans="2:11" hidden="1" x14ac:dyDescent="0.15">
      <c r="B72" s="8" t="s">
        <v>10</v>
      </c>
      <c r="C72" s="1" t="s">
        <v>83</v>
      </c>
    </row>
    <row r="73" spans="2:11" hidden="1" x14ac:dyDescent="0.15">
      <c r="B73" s="9" t="s">
        <v>76</v>
      </c>
      <c r="C73" s="1" t="s">
        <v>86</v>
      </c>
      <c r="G73" s="8" t="s">
        <v>5</v>
      </c>
      <c r="I73" s="1" t="s">
        <v>6</v>
      </c>
      <c r="J73" s="39" t="str">
        <f>IF(SELABAS!B13,IF(SELABAS!J15=0,"O",IF(SELABAS!J15=SELABAS!K15,"P","N")),"")</f>
        <v/>
      </c>
      <c r="K73" s="41" t="str">
        <f>IF(SELABAS!B13,SELABAS!F15,"")</f>
        <v/>
      </c>
    </row>
    <row r="74" spans="2:11" hidden="1" x14ac:dyDescent="0.15">
      <c r="B74" s="8" t="s">
        <v>7</v>
      </c>
      <c r="C74" s="1" t="s">
        <v>87</v>
      </c>
    </row>
    <row r="75" spans="2:11" hidden="1" x14ac:dyDescent="0.15">
      <c r="B75" s="8" t="s">
        <v>8</v>
      </c>
      <c r="C75" s="1" t="s">
        <v>88</v>
      </c>
    </row>
    <row r="76" spans="2:11" hidden="1" x14ac:dyDescent="0.15">
      <c r="B76" s="8" t="s">
        <v>9</v>
      </c>
      <c r="C76" s="1" t="s">
        <v>89</v>
      </c>
    </row>
    <row r="77" spans="2:11" hidden="1" x14ac:dyDescent="0.15">
      <c r="B77" s="8" t="s">
        <v>10</v>
      </c>
      <c r="C77" s="1" t="s">
        <v>90</v>
      </c>
    </row>
    <row r="78" spans="2:11" hidden="1" x14ac:dyDescent="0.15">
      <c r="B78" s="9" t="s">
        <v>77</v>
      </c>
      <c r="C78" s="1" t="s">
        <v>96</v>
      </c>
      <c r="G78" s="8" t="s">
        <v>5</v>
      </c>
      <c r="I78" s="1" t="s">
        <v>6</v>
      </c>
      <c r="J78" s="39" t="str">
        <f>IF(SELABAS!B13,IF(SELABAS!J16=0,"O",IF(SELABAS!J16=SELABAS!K16,"P","N")),"")</f>
        <v/>
      </c>
      <c r="K78" s="41" t="str">
        <f>IF(SELABAS!B13,SELABAS!F16,"")</f>
        <v/>
      </c>
    </row>
    <row r="79" spans="2:11" ht="5.0999999999999996" hidden="1" customHeight="1" x14ac:dyDescent="0.15">
      <c r="B79" s="9"/>
      <c r="G79" s="8"/>
    </row>
    <row r="80" spans="2:11" hidden="1" x14ac:dyDescent="0.15">
      <c r="B80" s="9"/>
      <c r="C80" s="11" t="s">
        <v>91</v>
      </c>
      <c r="G80" s="8"/>
    </row>
    <row r="81" spans="2:11" hidden="1" x14ac:dyDescent="0.15">
      <c r="B81" s="12">
        <v>1</v>
      </c>
      <c r="C81" s="13" t="s">
        <v>92</v>
      </c>
      <c r="G81" s="8"/>
    </row>
    <row r="82" spans="2:11" hidden="1" x14ac:dyDescent="0.15">
      <c r="B82" s="12">
        <v>2</v>
      </c>
      <c r="C82" s="14" t="s">
        <v>93</v>
      </c>
      <c r="G82" s="8"/>
    </row>
    <row r="83" spans="2:11" hidden="1" x14ac:dyDescent="0.15">
      <c r="B83" s="12">
        <v>3</v>
      </c>
      <c r="C83" s="14" t="s">
        <v>94</v>
      </c>
      <c r="G83" s="8"/>
    </row>
    <row r="84" spans="2:11" hidden="1" x14ac:dyDescent="0.15">
      <c r="B84" s="12">
        <v>4</v>
      </c>
      <c r="C84" s="14" t="s">
        <v>95</v>
      </c>
      <c r="G84" s="8"/>
    </row>
    <row r="85" spans="2:11" ht="5.0999999999999996" hidden="1" customHeight="1" x14ac:dyDescent="0.15">
      <c r="B85" s="9"/>
      <c r="G85" s="8"/>
    </row>
    <row r="86" spans="2:11" hidden="1" x14ac:dyDescent="0.15">
      <c r="B86" s="8" t="s">
        <v>7</v>
      </c>
      <c r="C86" s="2" t="s">
        <v>97</v>
      </c>
    </row>
    <row r="87" spans="2:11" hidden="1" x14ac:dyDescent="0.15">
      <c r="B87" s="8" t="s">
        <v>8</v>
      </c>
      <c r="C87" s="2" t="s">
        <v>98</v>
      </c>
    </row>
    <row r="88" spans="2:11" hidden="1" x14ac:dyDescent="0.15">
      <c r="B88" s="8" t="s">
        <v>9</v>
      </c>
      <c r="C88" s="2" t="s">
        <v>99</v>
      </c>
    </row>
    <row r="89" spans="2:11" hidden="1" x14ac:dyDescent="0.15">
      <c r="B89" s="8" t="s">
        <v>10</v>
      </c>
      <c r="C89" s="2" t="s">
        <v>100</v>
      </c>
    </row>
    <row r="90" spans="2:11" hidden="1" x14ac:dyDescent="0.15">
      <c r="B90" s="9" t="s">
        <v>78</v>
      </c>
      <c r="C90" s="1" t="s">
        <v>128</v>
      </c>
      <c r="G90" s="8" t="s">
        <v>5</v>
      </c>
      <c r="I90" s="1" t="s">
        <v>6</v>
      </c>
      <c r="J90" s="39" t="str">
        <f>IF(SELABAS!B13,IF(SELABAS!J17=0,"O",IF(SELABAS!J17=SELABAS!K17,"P","N")),"")</f>
        <v/>
      </c>
      <c r="K90" s="41" t="str">
        <f>IF(SELABAS!B13,SELABAS!F17,"")</f>
        <v/>
      </c>
    </row>
    <row r="91" spans="2:11" hidden="1" x14ac:dyDescent="0.15">
      <c r="B91" s="8" t="s">
        <v>7</v>
      </c>
      <c r="C91" s="1" t="s">
        <v>101</v>
      </c>
    </row>
    <row r="92" spans="2:11" hidden="1" x14ac:dyDescent="0.15">
      <c r="B92" s="8" t="s">
        <v>8</v>
      </c>
      <c r="C92" s="1" t="s">
        <v>102</v>
      </c>
    </row>
    <row r="93" spans="2:11" hidden="1" x14ac:dyDescent="0.15">
      <c r="B93" s="8" t="s">
        <v>9</v>
      </c>
      <c r="C93" s="1" t="s">
        <v>103</v>
      </c>
    </row>
    <row r="94" spans="2:11" hidden="1" x14ac:dyDescent="0.15">
      <c r="B94" s="8" t="s">
        <v>10</v>
      </c>
      <c r="C94" s="1" t="s">
        <v>104</v>
      </c>
    </row>
    <row r="95" spans="2:11" hidden="1" x14ac:dyDescent="0.15">
      <c r="B95" s="9" t="s">
        <v>79</v>
      </c>
      <c r="C95" s="1" t="s">
        <v>105</v>
      </c>
      <c r="G95" s="8" t="s">
        <v>5</v>
      </c>
      <c r="I95" s="1" t="s">
        <v>6</v>
      </c>
      <c r="J95" s="39" t="str">
        <f>IF(SELABAS!B13,IF(SELABAS!J18=0,"O",IF(SELABAS!J18=SELABAS!K18,"P","N")),"")</f>
        <v/>
      </c>
      <c r="K95" s="41" t="str">
        <f>IF(SELABAS!B13,SELABAS!F18,"")</f>
        <v/>
      </c>
    </row>
    <row r="96" spans="2:11" hidden="1" x14ac:dyDescent="0.15">
      <c r="B96" s="8" t="s">
        <v>7</v>
      </c>
      <c r="C96" s="1" t="s">
        <v>106</v>
      </c>
    </row>
    <row r="97" spans="2:4" hidden="1" x14ac:dyDescent="0.15">
      <c r="B97" s="8" t="s">
        <v>8</v>
      </c>
      <c r="C97" s="1" t="s">
        <v>107</v>
      </c>
    </row>
    <row r="98" spans="2:4" hidden="1" x14ac:dyDescent="0.15">
      <c r="B98" s="8" t="s">
        <v>9</v>
      </c>
      <c r="C98" s="1" t="s">
        <v>108</v>
      </c>
    </row>
    <row r="99" spans="2:4" hidden="1" x14ac:dyDescent="0.15">
      <c r="B99" s="8" t="s">
        <v>10</v>
      </c>
      <c r="C99" s="1" t="s">
        <v>109</v>
      </c>
    </row>
    <row r="100" spans="2:4" hidden="1" x14ac:dyDescent="0.15">
      <c r="B100" s="8" t="s">
        <v>110</v>
      </c>
      <c r="C100" s="1" t="s">
        <v>149</v>
      </c>
    </row>
    <row r="101" spans="2:4" hidden="1" x14ac:dyDescent="0.15">
      <c r="B101" s="9" t="s">
        <v>111</v>
      </c>
      <c r="C101" s="1" t="s">
        <v>112</v>
      </c>
    </row>
    <row r="102" spans="2:4" ht="5.0999999999999996" hidden="1" customHeight="1" x14ac:dyDescent="0.15">
      <c r="B102" s="9"/>
    </row>
    <row r="103" spans="2:4" hidden="1" x14ac:dyDescent="0.15">
      <c r="C103" s="11" t="s">
        <v>43</v>
      </c>
      <c r="D103" s="11" t="s">
        <v>113</v>
      </c>
    </row>
    <row r="104" spans="2:4" hidden="1" x14ac:dyDescent="0.15">
      <c r="B104" s="12">
        <v>1</v>
      </c>
      <c r="C104" s="29" t="s">
        <v>116</v>
      </c>
      <c r="D104" s="30" t="s">
        <v>115</v>
      </c>
    </row>
    <row r="105" spans="2:4" hidden="1" x14ac:dyDescent="0.15">
      <c r="B105" s="12">
        <v>2</v>
      </c>
      <c r="C105" s="15">
        <v>70</v>
      </c>
      <c r="D105" s="16">
        <v>0.55000000000000004</v>
      </c>
    </row>
    <row r="106" spans="2:4" hidden="1" x14ac:dyDescent="0.15">
      <c r="B106" s="12">
        <v>3</v>
      </c>
      <c r="C106" s="15">
        <v>60</v>
      </c>
      <c r="D106" s="16">
        <v>0.13</v>
      </c>
    </row>
    <row r="107" spans="2:4" hidden="1" x14ac:dyDescent="0.15">
      <c r="B107" s="12">
        <v>4</v>
      </c>
      <c r="C107" s="15">
        <v>90</v>
      </c>
      <c r="D107" s="16">
        <v>0.12</v>
      </c>
    </row>
    <row r="108" spans="2:4" hidden="1" x14ac:dyDescent="0.15">
      <c r="B108" s="12">
        <v>5</v>
      </c>
      <c r="C108" s="15">
        <v>67</v>
      </c>
      <c r="D108" s="16">
        <v>0.05</v>
      </c>
    </row>
    <row r="109" spans="2:4" hidden="1" x14ac:dyDescent="0.15">
      <c r="B109" s="12">
        <v>6</v>
      </c>
      <c r="C109" s="15">
        <v>88</v>
      </c>
      <c r="D109" s="16">
        <v>0.05</v>
      </c>
    </row>
    <row r="110" spans="2:4" hidden="1" x14ac:dyDescent="0.15">
      <c r="B110" s="12">
        <v>7</v>
      </c>
      <c r="C110" s="15">
        <v>76</v>
      </c>
      <c r="D110" s="16">
        <v>0.03</v>
      </c>
    </row>
    <row r="111" spans="2:4" hidden="1" x14ac:dyDescent="0.15">
      <c r="B111" s="12">
        <v>8</v>
      </c>
      <c r="C111" s="15">
        <v>50</v>
      </c>
      <c r="D111" s="16">
        <v>0.03</v>
      </c>
    </row>
    <row r="112" spans="2:4" hidden="1" x14ac:dyDescent="0.15">
      <c r="B112" s="12">
        <v>9</v>
      </c>
      <c r="C112" s="15">
        <v>45</v>
      </c>
      <c r="D112" s="16">
        <v>0.02</v>
      </c>
    </row>
    <row r="113" spans="2:11" hidden="1" x14ac:dyDescent="0.15">
      <c r="B113" s="12">
        <v>10</v>
      </c>
      <c r="C113" s="15">
        <v>90</v>
      </c>
      <c r="D113" s="16">
        <v>0.02</v>
      </c>
    </row>
    <row r="114" spans="2:11" hidden="1" x14ac:dyDescent="0.15">
      <c r="B114" s="12">
        <v>11</v>
      </c>
      <c r="C114" s="15" t="s">
        <v>132</v>
      </c>
      <c r="D114" s="17" t="s">
        <v>117</v>
      </c>
    </row>
    <row r="115" spans="2:11" ht="5.0999999999999996" hidden="1" customHeight="1" x14ac:dyDescent="0.15"/>
    <row r="116" spans="2:11" hidden="1" x14ac:dyDescent="0.15">
      <c r="C116" s="45" t="s">
        <v>118</v>
      </c>
      <c r="D116" s="45"/>
      <c r="E116" s="45"/>
      <c r="F116" s="44"/>
      <c r="G116" s="44"/>
      <c r="H116" s="44"/>
      <c r="J116" s="39" t="str">
        <f>IF(SELABAS!B13,IF(SELABAS!J19=0,"O",IF(SELABAS!J19=SELABAS!K19,"P","N")),"")</f>
        <v/>
      </c>
      <c r="K116" s="41" t="str">
        <f>IF(SELABAS!B13,SELABAS!F19,"")</f>
        <v/>
      </c>
    </row>
    <row r="117" spans="2:11" hidden="1" x14ac:dyDescent="0.15">
      <c r="C117" s="8"/>
      <c r="D117" s="8"/>
      <c r="E117" s="8"/>
      <c r="F117" s="18"/>
      <c r="G117" s="18"/>
      <c r="H117" s="18"/>
    </row>
    <row r="118" spans="2:11" hidden="1" x14ac:dyDescent="0.15">
      <c r="B118" s="9" t="s">
        <v>119</v>
      </c>
      <c r="C118" s="1" t="s">
        <v>241</v>
      </c>
    </row>
    <row r="119" spans="2:11" ht="5.0999999999999996" hidden="1" customHeight="1" x14ac:dyDescent="0.15">
      <c r="B119" s="9"/>
    </row>
    <row r="120" spans="2:11" hidden="1" x14ac:dyDescent="0.15">
      <c r="B120" s="9"/>
      <c r="C120" s="11" t="s">
        <v>43</v>
      </c>
      <c r="D120" s="11" t="s">
        <v>113</v>
      </c>
      <c r="E120" s="11" t="s">
        <v>114</v>
      </c>
      <c r="F120" s="11" t="s">
        <v>3</v>
      </c>
      <c r="G120" s="11" t="s">
        <v>146</v>
      </c>
      <c r="H120" s="11" t="s">
        <v>145</v>
      </c>
    </row>
    <row r="121" spans="2:11" hidden="1" x14ac:dyDescent="0.15">
      <c r="B121" s="12">
        <v>1</v>
      </c>
      <c r="C121" s="31" t="s">
        <v>138</v>
      </c>
      <c r="D121" s="31" t="s">
        <v>147</v>
      </c>
      <c r="E121" s="31" t="s">
        <v>133</v>
      </c>
      <c r="F121" s="31" t="s">
        <v>240</v>
      </c>
      <c r="G121" s="31" t="s">
        <v>239</v>
      </c>
      <c r="H121" s="31" t="s">
        <v>134</v>
      </c>
    </row>
    <row r="122" spans="2:11" hidden="1" x14ac:dyDescent="0.15">
      <c r="B122" s="12">
        <v>2</v>
      </c>
      <c r="C122" s="17" t="s">
        <v>135</v>
      </c>
      <c r="D122" s="17" t="s">
        <v>136</v>
      </c>
      <c r="E122" s="17">
        <v>5523</v>
      </c>
      <c r="F122" s="17">
        <v>8.1999999999999993</v>
      </c>
      <c r="G122" s="17">
        <v>33289</v>
      </c>
      <c r="H122" s="17">
        <v>3.6</v>
      </c>
    </row>
    <row r="123" spans="2:11" hidden="1" x14ac:dyDescent="0.15">
      <c r="B123" s="12">
        <v>3</v>
      </c>
      <c r="C123" s="17" t="s">
        <v>137</v>
      </c>
      <c r="D123" s="17" t="s">
        <v>136</v>
      </c>
      <c r="E123" s="17">
        <v>132</v>
      </c>
      <c r="F123" s="17">
        <v>1.9</v>
      </c>
      <c r="G123" s="17">
        <v>607</v>
      </c>
      <c r="H123" s="17">
        <v>6.4</v>
      </c>
    </row>
    <row r="124" spans="2:11" hidden="1" x14ac:dyDescent="0.15">
      <c r="B124" s="12">
        <v>4</v>
      </c>
      <c r="C124" s="17" t="s">
        <v>139</v>
      </c>
      <c r="D124" s="17" t="s">
        <v>136</v>
      </c>
      <c r="E124" s="17">
        <v>3976</v>
      </c>
      <c r="F124" s="17">
        <v>6.9</v>
      </c>
      <c r="G124" s="17">
        <v>23743</v>
      </c>
      <c r="H124" s="17">
        <v>1.6</v>
      </c>
    </row>
    <row r="125" spans="2:11" hidden="1" x14ac:dyDescent="0.15">
      <c r="B125" s="12">
        <v>5</v>
      </c>
      <c r="C125" s="17" t="s">
        <v>140</v>
      </c>
      <c r="D125" s="17" t="s">
        <v>136</v>
      </c>
      <c r="E125" s="17">
        <v>3914</v>
      </c>
      <c r="F125" s="17">
        <v>6.9</v>
      </c>
      <c r="G125" s="17">
        <v>23341</v>
      </c>
      <c r="H125" s="17">
        <v>1.6</v>
      </c>
    </row>
    <row r="126" spans="2:11" hidden="1" x14ac:dyDescent="0.15">
      <c r="B126" s="12">
        <v>6</v>
      </c>
      <c r="C126" s="17" t="s">
        <v>141</v>
      </c>
      <c r="D126" s="17" t="s">
        <v>136</v>
      </c>
      <c r="E126" s="17">
        <v>646</v>
      </c>
      <c r="F126" s="17">
        <v>7.3</v>
      </c>
      <c r="G126" s="17">
        <v>3937</v>
      </c>
      <c r="H126" s="17">
        <v>3.9</v>
      </c>
    </row>
    <row r="127" spans="2:11" hidden="1" x14ac:dyDescent="0.15">
      <c r="B127" s="12">
        <v>7</v>
      </c>
      <c r="C127" s="17" t="s">
        <v>142</v>
      </c>
      <c r="D127" s="17" t="s">
        <v>136</v>
      </c>
      <c r="E127" s="17">
        <v>3269</v>
      </c>
      <c r="F127" s="17">
        <v>6.8</v>
      </c>
      <c r="G127" s="17">
        <v>19405</v>
      </c>
      <c r="H127" s="17">
        <v>1.1000000000000001</v>
      </c>
    </row>
    <row r="128" spans="2:11" hidden="1" x14ac:dyDescent="0.15">
      <c r="B128" s="12">
        <v>8</v>
      </c>
      <c r="C128" s="17" t="s">
        <v>143</v>
      </c>
      <c r="D128" s="17" t="s">
        <v>136</v>
      </c>
      <c r="E128" s="17">
        <v>743</v>
      </c>
      <c r="F128" s="17">
        <v>15.3</v>
      </c>
      <c r="G128" s="17">
        <v>4451</v>
      </c>
      <c r="H128" s="17">
        <v>10.199999999999999</v>
      </c>
    </row>
    <row r="129" spans="2:11" hidden="1" x14ac:dyDescent="0.15">
      <c r="B129" s="12">
        <v>9</v>
      </c>
      <c r="C129" s="17" t="s">
        <v>144</v>
      </c>
      <c r="D129" s="17" t="s">
        <v>136</v>
      </c>
      <c r="E129" s="17">
        <v>672</v>
      </c>
      <c r="F129" s="17">
        <v>9.6</v>
      </c>
      <c r="G129" s="17">
        <v>4489</v>
      </c>
      <c r="H129" s="17">
        <v>8</v>
      </c>
    </row>
    <row r="130" spans="2:11" ht="5.0999999999999996" hidden="1" customHeight="1" x14ac:dyDescent="0.15">
      <c r="B130" s="9"/>
    </row>
    <row r="131" spans="2:11" hidden="1" x14ac:dyDescent="0.15">
      <c r="B131" s="9"/>
      <c r="C131" s="45" t="s">
        <v>118</v>
      </c>
      <c r="D131" s="45"/>
      <c r="E131" s="45"/>
      <c r="F131" s="44"/>
      <c r="G131" s="44"/>
      <c r="H131" s="44"/>
      <c r="J131" s="39" t="str">
        <f>IF(SELABAS!B13,IF(SELABAS!J20=0,"O",IF(SELABAS!J20=SELABAS!K20,"P","N")),"")</f>
        <v/>
      </c>
      <c r="K131" s="41" t="str">
        <f>IF(SELABAS!B13,SELABAS!F20,"")</f>
        <v/>
      </c>
    </row>
    <row r="132" spans="2:11" hidden="1" x14ac:dyDescent="0.15">
      <c r="B132" s="9"/>
      <c r="C132" s="8"/>
      <c r="D132" s="8"/>
      <c r="E132" s="8"/>
      <c r="F132" s="18"/>
      <c r="G132" s="18"/>
      <c r="H132" s="18"/>
    </row>
    <row r="133" spans="2:11" hidden="1" x14ac:dyDescent="0.15">
      <c r="B133" s="9" t="s">
        <v>120</v>
      </c>
      <c r="C133" s="1" t="s">
        <v>164</v>
      </c>
    </row>
    <row r="134" spans="2:11" ht="5.0999999999999996" hidden="1" customHeight="1" x14ac:dyDescent="0.15"/>
    <row r="135" spans="2:11" hidden="1" x14ac:dyDescent="0.15">
      <c r="C135" s="19" t="s">
        <v>158</v>
      </c>
      <c r="D135" s="19" t="s">
        <v>159</v>
      </c>
      <c r="E135" s="19" t="s">
        <v>160</v>
      </c>
      <c r="F135" s="19" t="s">
        <v>161</v>
      </c>
      <c r="G135" s="19" t="s">
        <v>162</v>
      </c>
      <c r="H135" s="19" t="s">
        <v>163</v>
      </c>
    </row>
    <row r="136" spans="2:11" hidden="1" x14ac:dyDescent="0.15">
      <c r="B136" s="20">
        <v>1</v>
      </c>
      <c r="C136" s="31" t="s">
        <v>153</v>
      </c>
      <c r="D136" s="31" t="s">
        <v>152</v>
      </c>
      <c r="E136" s="31" t="s">
        <v>154</v>
      </c>
      <c r="F136" s="31" t="s">
        <v>156</v>
      </c>
      <c r="G136" s="31" t="s">
        <v>155</v>
      </c>
      <c r="H136" s="31" t="s">
        <v>157</v>
      </c>
    </row>
    <row r="137" spans="2:11" hidden="1" x14ac:dyDescent="0.15">
      <c r="B137" s="20">
        <v>2</v>
      </c>
      <c r="C137" s="17">
        <v>123.45</v>
      </c>
      <c r="D137" s="17">
        <v>100</v>
      </c>
      <c r="E137" s="17">
        <f>C137*D137</f>
        <v>12345</v>
      </c>
      <c r="F137" s="17">
        <f>D137*55.72</f>
        <v>5572</v>
      </c>
      <c r="G137" s="17">
        <v>1500</v>
      </c>
      <c r="H137" s="17">
        <f>E137-F137-G137</f>
        <v>5273</v>
      </c>
    </row>
    <row r="138" spans="2:11" ht="5.0999999999999996" hidden="1" customHeight="1" x14ac:dyDescent="0.15"/>
    <row r="139" spans="2:11" hidden="1" x14ac:dyDescent="0.15">
      <c r="C139" s="1" t="s">
        <v>168</v>
      </c>
    </row>
    <row r="140" spans="2:11" ht="5.0999999999999996" hidden="1" customHeight="1" x14ac:dyDescent="0.15"/>
    <row r="141" spans="2:11" hidden="1" x14ac:dyDescent="0.15">
      <c r="C141" s="21" t="s">
        <v>165</v>
      </c>
      <c r="D141" s="46"/>
      <c r="E141" s="46"/>
      <c r="J141" s="39" t="str">
        <f>IF(SELABAS!B13,IF(SELABAS!J21=0,"O",IF(SELABAS!J21=SELABAS!K21,"P","N")),"")</f>
        <v/>
      </c>
      <c r="K141" s="41" t="str">
        <f>IF(SELABAS!B13,SELABAS!F21,"")</f>
        <v/>
      </c>
    </row>
    <row r="142" spans="2:11" hidden="1" x14ac:dyDescent="0.15">
      <c r="C142" s="21" t="s">
        <v>166</v>
      </c>
      <c r="D142" s="47"/>
      <c r="E142" s="47"/>
      <c r="J142" s="39" t="str">
        <f>IF(SELABAS!B13,IF(SELABAS!J22=0,"O",IF(SELABAS!J22=SELABAS!K22,"P","N")),"")</f>
        <v/>
      </c>
      <c r="K142" s="41" t="str">
        <f>IF(SELABAS!B13,SELABAS!F22,"")</f>
        <v/>
      </c>
    </row>
    <row r="143" spans="2:11" hidden="1" x14ac:dyDescent="0.15">
      <c r="C143" s="21" t="s">
        <v>167</v>
      </c>
      <c r="D143" s="47"/>
      <c r="E143" s="47"/>
      <c r="J143" s="39" t="str">
        <f>IF(SELABAS!B13,IF(SELABAS!J23=0,"O",IF(SELABAS!J23=SELABAS!K23,"P","N")),"")</f>
        <v/>
      </c>
      <c r="K143" s="41" t="str">
        <f>IF(SELABAS!B13,SELABAS!F23,"")</f>
        <v/>
      </c>
    </row>
    <row r="144" spans="2:11" hidden="1" x14ac:dyDescent="0.15">
      <c r="C144" s="22"/>
    </row>
    <row r="145" spans="2:14" hidden="1" x14ac:dyDescent="0.15">
      <c r="B145" s="9" t="s">
        <v>121</v>
      </c>
      <c r="C145" s="1" t="s">
        <v>173</v>
      </c>
    </row>
    <row r="146" spans="2:14" ht="5.0999999999999996" hidden="1" customHeight="1" x14ac:dyDescent="0.15">
      <c r="B146" s="9"/>
    </row>
    <row r="147" spans="2:14" hidden="1" x14ac:dyDescent="0.15">
      <c r="C147" s="19" t="s">
        <v>174</v>
      </c>
      <c r="D147" s="19" t="s">
        <v>175</v>
      </c>
      <c r="E147" s="19" t="s">
        <v>176</v>
      </c>
    </row>
    <row r="148" spans="2:14" hidden="1" x14ac:dyDescent="0.15">
      <c r="B148" s="20">
        <v>1</v>
      </c>
      <c r="C148" s="31" t="s">
        <v>170</v>
      </c>
      <c r="D148" s="31" t="s">
        <v>171</v>
      </c>
      <c r="E148" s="31" t="s">
        <v>172</v>
      </c>
    </row>
    <row r="149" spans="2:14" hidden="1" x14ac:dyDescent="0.15">
      <c r="B149" s="20">
        <v>2</v>
      </c>
      <c r="C149" s="17">
        <v>1990</v>
      </c>
      <c r="D149" s="17">
        <v>2</v>
      </c>
      <c r="E149" s="17">
        <v>19</v>
      </c>
    </row>
    <row r="150" spans="2:14" ht="5.0999999999999996" hidden="1" customHeight="1" x14ac:dyDescent="0.15"/>
    <row r="151" spans="2:14" hidden="1" x14ac:dyDescent="0.15">
      <c r="C151" s="45" t="s">
        <v>118</v>
      </c>
      <c r="D151" s="45"/>
      <c r="E151" s="45"/>
      <c r="F151" s="44"/>
      <c r="G151" s="44"/>
      <c r="H151" s="44"/>
      <c r="J151" s="39" t="str">
        <f>IF(SELABAS!B13,IF(SELABAS!J24=0,"O",IF(SELABAS!J24=SELABAS!K24,"P","N")),"")</f>
        <v/>
      </c>
      <c r="K151" s="41" t="str">
        <f>IF(SELABAS!B13,SELABAS!F24,"")</f>
        <v/>
      </c>
      <c r="N151" s="35"/>
    </row>
    <row r="152" spans="2:14" hidden="1" x14ac:dyDescent="0.15">
      <c r="C152" s="8"/>
      <c r="D152" s="8"/>
      <c r="E152" s="8"/>
      <c r="F152" s="18"/>
      <c r="G152" s="18"/>
      <c r="H152" s="18"/>
    </row>
    <row r="153" spans="2:14" hidden="1" x14ac:dyDescent="0.15">
      <c r="B153" s="9" t="s">
        <v>122</v>
      </c>
      <c r="C153" s="1" t="s">
        <v>204</v>
      </c>
    </row>
    <row r="154" spans="2:14" ht="5.0999999999999996" hidden="1" customHeight="1" x14ac:dyDescent="0.15"/>
    <row r="155" spans="2:14" hidden="1" x14ac:dyDescent="0.15">
      <c r="C155" s="19" t="s">
        <v>43</v>
      </c>
      <c r="D155" s="19" t="s">
        <v>191</v>
      </c>
      <c r="E155" s="19" t="s">
        <v>192</v>
      </c>
      <c r="F155" s="19" t="s">
        <v>193</v>
      </c>
      <c r="G155" s="3"/>
    </row>
    <row r="156" spans="2:14" hidden="1" x14ac:dyDescent="0.15">
      <c r="B156" s="20">
        <v>1</v>
      </c>
      <c r="C156" s="32" t="s">
        <v>187</v>
      </c>
      <c r="D156" s="32" t="s">
        <v>188</v>
      </c>
      <c r="E156" s="32" t="s">
        <v>189</v>
      </c>
      <c r="F156" s="32" t="s">
        <v>190</v>
      </c>
      <c r="G156" s="24"/>
    </row>
    <row r="157" spans="2:14" hidden="1" x14ac:dyDescent="0.15">
      <c r="B157" s="20">
        <v>2</v>
      </c>
      <c r="C157" s="23" t="s">
        <v>194</v>
      </c>
      <c r="D157" s="23" t="s">
        <v>195</v>
      </c>
      <c r="E157" s="23">
        <v>5</v>
      </c>
      <c r="F157" s="23">
        <v>33000</v>
      </c>
      <c r="G157" s="25"/>
    </row>
    <row r="158" spans="2:14" hidden="1" x14ac:dyDescent="0.15">
      <c r="B158" s="20">
        <v>3</v>
      </c>
      <c r="C158" s="17"/>
      <c r="D158" s="23" t="s">
        <v>196</v>
      </c>
      <c r="E158" s="23">
        <v>4</v>
      </c>
      <c r="F158" s="23">
        <v>37000</v>
      </c>
      <c r="G158" s="25"/>
    </row>
    <row r="159" spans="2:14" hidden="1" x14ac:dyDescent="0.15">
      <c r="B159" s="20">
        <v>4</v>
      </c>
      <c r="C159" s="23" t="s">
        <v>197</v>
      </c>
      <c r="D159" s="23" t="s">
        <v>195</v>
      </c>
      <c r="E159" s="23">
        <v>6</v>
      </c>
      <c r="F159" s="23">
        <v>24000</v>
      </c>
      <c r="G159" s="25"/>
    </row>
    <row r="160" spans="2:14" hidden="1" x14ac:dyDescent="0.15">
      <c r="B160" s="20">
        <v>5</v>
      </c>
      <c r="C160" s="23"/>
      <c r="D160" s="23" t="s">
        <v>196</v>
      </c>
      <c r="E160" s="23">
        <v>8</v>
      </c>
      <c r="F160" s="23">
        <v>21000</v>
      </c>
      <c r="G160" s="25"/>
    </row>
    <row r="161" spans="2:13" hidden="1" x14ac:dyDescent="0.15">
      <c r="B161" s="20">
        <v>6</v>
      </c>
      <c r="C161" s="23" t="s">
        <v>198</v>
      </c>
      <c r="D161" s="23" t="s">
        <v>195</v>
      </c>
      <c r="E161" s="23">
        <v>3</v>
      </c>
      <c r="F161" s="23">
        <v>29000</v>
      </c>
      <c r="G161" s="25"/>
    </row>
    <row r="162" spans="2:13" hidden="1" x14ac:dyDescent="0.15">
      <c r="B162" s="20">
        <v>7</v>
      </c>
      <c r="C162" s="23"/>
      <c r="D162" s="23" t="s">
        <v>196</v>
      </c>
      <c r="E162" s="23">
        <v>1</v>
      </c>
      <c r="F162" s="23">
        <v>31000</v>
      </c>
      <c r="G162" s="25"/>
    </row>
    <row r="163" spans="2:13" hidden="1" x14ac:dyDescent="0.15">
      <c r="B163" s="20">
        <v>8</v>
      </c>
      <c r="C163" s="23" t="s">
        <v>199</v>
      </c>
      <c r="D163" s="23" t="s">
        <v>195</v>
      </c>
      <c r="E163" s="23">
        <v>9</v>
      </c>
      <c r="F163" s="23">
        <v>24000</v>
      </c>
      <c r="G163" s="25"/>
    </row>
    <row r="164" spans="2:13" hidden="1" x14ac:dyDescent="0.15">
      <c r="B164" s="20">
        <v>9</v>
      </c>
      <c r="C164" s="23"/>
      <c r="D164" s="23" t="s">
        <v>196</v>
      </c>
      <c r="E164" s="23">
        <v>5</v>
      </c>
      <c r="F164" s="23">
        <v>37000</v>
      </c>
      <c r="G164" s="25"/>
    </row>
    <row r="165" spans="2:13" hidden="1" x14ac:dyDescent="0.15">
      <c r="B165" s="20">
        <v>10</v>
      </c>
      <c r="C165" s="23" t="s">
        <v>200</v>
      </c>
      <c r="D165" s="23" t="s">
        <v>195</v>
      </c>
      <c r="E165" s="23">
        <v>6</v>
      </c>
      <c r="F165" s="23">
        <v>33000</v>
      </c>
      <c r="G165" s="25"/>
    </row>
    <row r="166" spans="2:13" hidden="1" x14ac:dyDescent="0.15">
      <c r="B166" s="20">
        <v>11</v>
      </c>
      <c r="C166" s="23"/>
      <c r="D166" s="23" t="s">
        <v>196</v>
      </c>
      <c r="E166" s="23">
        <v>8</v>
      </c>
      <c r="F166" s="23">
        <v>31000</v>
      </c>
      <c r="G166" s="25"/>
    </row>
    <row r="167" spans="2:13" hidden="1" x14ac:dyDescent="0.15">
      <c r="B167" s="20">
        <v>12</v>
      </c>
      <c r="C167" s="23" t="s">
        <v>201</v>
      </c>
      <c r="D167" s="23" t="s">
        <v>195</v>
      </c>
      <c r="E167" s="23">
        <v>2</v>
      </c>
      <c r="F167" s="23">
        <v>27000</v>
      </c>
      <c r="G167" s="25"/>
    </row>
    <row r="168" spans="2:13" hidden="1" x14ac:dyDescent="0.15">
      <c r="B168" s="20">
        <v>13</v>
      </c>
      <c r="C168" s="23"/>
      <c r="D168" s="23" t="s">
        <v>196</v>
      </c>
      <c r="E168" s="23">
        <v>3</v>
      </c>
      <c r="F168" s="23">
        <v>30000</v>
      </c>
      <c r="G168" s="25"/>
    </row>
    <row r="169" spans="2:13" hidden="1" x14ac:dyDescent="0.15">
      <c r="B169" s="20">
        <v>14</v>
      </c>
      <c r="C169" s="23" t="s">
        <v>202</v>
      </c>
      <c r="D169" s="23" t="s">
        <v>195</v>
      </c>
      <c r="E169" s="23">
        <v>4</v>
      </c>
      <c r="F169" s="23">
        <v>22000</v>
      </c>
      <c r="G169" s="25"/>
    </row>
    <row r="170" spans="2:13" hidden="1" x14ac:dyDescent="0.15">
      <c r="B170" s="20">
        <v>15</v>
      </c>
      <c r="C170" s="23"/>
      <c r="D170" s="23" t="s">
        <v>196</v>
      </c>
      <c r="E170" s="23">
        <v>1</v>
      </c>
      <c r="F170" s="23">
        <v>41000</v>
      </c>
      <c r="G170" s="25"/>
    </row>
    <row r="171" spans="2:13" hidden="1" x14ac:dyDescent="0.15">
      <c r="B171" s="20">
        <v>16</v>
      </c>
      <c r="C171" s="23" t="s">
        <v>203</v>
      </c>
      <c r="D171" s="23" t="s">
        <v>195</v>
      </c>
      <c r="E171" s="23">
        <v>5</v>
      </c>
      <c r="F171" s="23">
        <v>32000</v>
      </c>
      <c r="G171" s="25"/>
    </row>
    <row r="172" spans="2:13" hidden="1" x14ac:dyDescent="0.15">
      <c r="B172" s="20">
        <v>17</v>
      </c>
      <c r="C172" s="23"/>
      <c r="D172" s="23" t="s">
        <v>196</v>
      </c>
      <c r="E172" s="23">
        <v>3</v>
      </c>
      <c r="F172" s="23">
        <v>36000</v>
      </c>
      <c r="G172" s="25"/>
    </row>
    <row r="173" spans="2:13" ht="5.0999999999999996" hidden="1" customHeight="1" x14ac:dyDescent="0.15"/>
    <row r="174" spans="2:13" hidden="1" x14ac:dyDescent="0.15">
      <c r="C174" s="1" t="s">
        <v>216</v>
      </c>
      <c r="F174" s="44"/>
      <c r="G174" s="44"/>
      <c r="H174" s="44"/>
      <c r="J174" s="39" t="str">
        <f>IF(SELABAS!B13,IF(SELABAS!J25=0,"O",IF(SELABAS!J25=SELABAS!K25,"P","N")),"")</f>
        <v/>
      </c>
      <c r="K174" s="41" t="str">
        <f>IF(SELABAS!B13,SELABAS!F25,"")</f>
        <v/>
      </c>
    </row>
    <row r="175" spans="2:13" hidden="1" x14ac:dyDescent="0.15">
      <c r="C175" s="1" t="s">
        <v>205</v>
      </c>
    </row>
    <row r="176" spans="2:13" hidden="1" x14ac:dyDescent="0.15">
      <c r="C176" s="8" t="s">
        <v>206</v>
      </c>
      <c r="D176" s="26"/>
      <c r="E176" s="27" t="s">
        <v>207</v>
      </c>
      <c r="F176" s="26"/>
      <c r="G176" s="27" t="s">
        <v>207</v>
      </c>
      <c r="H176" s="26"/>
      <c r="J176" s="39" t="str">
        <f>IF(SELABAS!B13,IF(SELABAS!J26=0,"O",IF(SELABAS!J26=SELABAS!K26,"P","N")),"")</f>
        <v/>
      </c>
      <c r="K176" s="41" t="str">
        <f>IF(SELABAS!B13,SELABAS!F26,"")</f>
        <v/>
      </c>
      <c r="L176" s="1" t="str">
        <f>IF(SELABAS!B13,SELABAS!F27,"")</f>
        <v/>
      </c>
      <c r="M176" s="4" t="str">
        <f>IF(SELABAS!B13,SELABAS!F28,"")</f>
        <v/>
      </c>
    </row>
    <row r="177" spans="2:14" hidden="1" x14ac:dyDescent="0.15"/>
    <row r="178" spans="2:14" hidden="1" x14ac:dyDescent="0.15">
      <c r="B178" s="9" t="s">
        <v>123</v>
      </c>
      <c r="C178" s="1" t="s">
        <v>217</v>
      </c>
    </row>
    <row r="179" spans="2:14" ht="5.0999999999999996" hidden="1" customHeight="1" x14ac:dyDescent="0.15">
      <c r="B179" s="9"/>
    </row>
    <row r="180" spans="2:14" hidden="1" x14ac:dyDescent="0.15">
      <c r="B180" s="9"/>
      <c r="C180" s="19" t="s">
        <v>215</v>
      </c>
    </row>
    <row r="181" spans="2:14" hidden="1" x14ac:dyDescent="0.15">
      <c r="B181" s="20">
        <v>1</v>
      </c>
      <c r="C181" s="31" t="s">
        <v>208</v>
      </c>
    </row>
    <row r="182" spans="2:14" hidden="1" x14ac:dyDescent="0.15">
      <c r="B182" s="20">
        <v>2</v>
      </c>
      <c r="C182" s="17" t="s">
        <v>209</v>
      </c>
    </row>
    <row r="183" spans="2:14" hidden="1" x14ac:dyDescent="0.15">
      <c r="B183" s="20">
        <v>3</v>
      </c>
      <c r="C183" s="17" t="s">
        <v>210</v>
      </c>
      <c r="N183" s="4"/>
    </row>
    <row r="184" spans="2:14" hidden="1" x14ac:dyDescent="0.15">
      <c r="B184" s="20">
        <v>4</v>
      </c>
      <c r="C184" s="17" t="s">
        <v>211</v>
      </c>
      <c r="N184" s="4"/>
    </row>
    <row r="185" spans="2:14" hidden="1" x14ac:dyDescent="0.15">
      <c r="B185" s="20">
        <v>5</v>
      </c>
      <c r="C185" s="17" t="s">
        <v>212</v>
      </c>
      <c r="N185" s="4"/>
    </row>
    <row r="186" spans="2:14" hidden="1" x14ac:dyDescent="0.15">
      <c r="B186" s="20">
        <v>6</v>
      </c>
      <c r="C186" s="17" t="s">
        <v>213</v>
      </c>
      <c r="N186" s="4"/>
    </row>
    <row r="187" spans="2:14" hidden="1" x14ac:dyDescent="0.15">
      <c r="B187" s="20">
        <v>7</v>
      </c>
      <c r="C187" s="17" t="s">
        <v>214</v>
      </c>
      <c r="N187" s="4"/>
    </row>
    <row r="188" spans="2:14" ht="5.0999999999999996" hidden="1" customHeight="1" x14ac:dyDescent="0.15">
      <c r="B188" s="9"/>
      <c r="N188" s="4"/>
    </row>
    <row r="189" spans="2:14" hidden="1" x14ac:dyDescent="0.15">
      <c r="B189" s="9"/>
      <c r="C189" s="1" t="s">
        <v>230</v>
      </c>
      <c r="E189" s="44"/>
      <c r="F189" s="44"/>
      <c r="G189" s="44"/>
      <c r="H189" s="44"/>
      <c r="J189" s="39" t="str">
        <f>IF(SELABAS!B13,IF(SELABAS!J29=0,"O",IF(SELABAS!J29=SELABAS!K29,"P","N")),"")</f>
        <v/>
      </c>
      <c r="K189" s="41" t="str">
        <f>IF(SELABAS!B13,SELABAS!F29,"")</f>
        <v/>
      </c>
    </row>
    <row r="190" spans="2:14" hidden="1" x14ac:dyDescent="0.15">
      <c r="B190" s="9"/>
      <c r="C190" s="1" t="s">
        <v>251</v>
      </c>
      <c r="E190" s="22"/>
      <c r="F190" s="22"/>
      <c r="G190" s="22"/>
      <c r="H190" s="22"/>
    </row>
    <row r="191" spans="2:14" hidden="1" x14ac:dyDescent="0.15">
      <c r="B191" s="9"/>
    </row>
    <row r="192" spans="2:14" hidden="1" x14ac:dyDescent="0.15">
      <c r="B192" s="9" t="s">
        <v>124</v>
      </c>
      <c r="C192" s="1" t="s">
        <v>218</v>
      </c>
    </row>
    <row r="193" spans="2:14" ht="5.0999999999999996" hidden="1" customHeight="1" x14ac:dyDescent="0.15">
      <c r="B193" s="9"/>
    </row>
    <row r="194" spans="2:14" hidden="1" x14ac:dyDescent="0.15">
      <c r="C194" s="49" t="s">
        <v>231</v>
      </c>
      <c r="D194" s="50"/>
      <c r="E194" s="50"/>
      <c r="F194" s="51"/>
      <c r="G194" s="19" t="s">
        <v>232</v>
      </c>
    </row>
    <row r="195" spans="2:14" hidden="1" x14ac:dyDescent="0.15">
      <c r="B195" s="20">
        <v>1</v>
      </c>
      <c r="C195" s="53" t="s">
        <v>221</v>
      </c>
      <c r="D195" s="53"/>
      <c r="E195" s="53"/>
      <c r="F195" s="53"/>
      <c r="G195" s="33" t="s">
        <v>220</v>
      </c>
      <c r="N195" s="37"/>
    </row>
    <row r="196" spans="2:14" hidden="1" x14ac:dyDescent="0.15">
      <c r="B196" s="20">
        <v>2</v>
      </c>
      <c r="C196" s="48" t="s">
        <v>219</v>
      </c>
      <c r="D196" s="48"/>
      <c r="E196" s="48"/>
      <c r="F196" s="48"/>
      <c r="G196" s="28"/>
    </row>
    <row r="197" spans="2:14" hidden="1" x14ac:dyDescent="0.15">
      <c r="B197" s="20">
        <v>3</v>
      </c>
      <c r="C197" s="48" t="s">
        <v>222</v>
      </c>
      <c r="D197" s="48"/>
      <c r="E197" s="48"/>
      <c r="F197" s="48"/>
      <c r="G197" s="28">
        <v>1</v>
      </c>
    </row>
    <row r="198" spans="2:14" hidden="1" x14ac:dyDescent="0.15">
      <c r="B198" s="20">
        <v>4</v>
      </c>
      <c r="C198" s="48" t="s">
        <v>223</v>
      </c>
      <c r="D198" s="48"/>
      <c r="E198" s="48"/>
      <c r="F198" s="48"/>
      <c r="G198" s="28">
        <v>2</v>
      </c>
    </row>
    <row r="199" spans="2:14" hidden="1" x14ac:dyDescent="0.15">
      <c r="B199" s="20">
        <v>5</v>
      </c>
      <c r="C199" s="48" t="s">
        <v>224</v>
      </c>
      <c r="D199" s="48"/>
      <c r="E199" s="48"/>
      <c r="F199" s="48"/>
      <c r="G199" s="28">
        <v>3</v>
      </c>
    </row>
    <row r="200" spans="2:14" hidden="1" x14ac:dyDescent="0.15">
      <c r="B200" s="20">
        <v>6</v>
      </c>
      <c r="C200" s="48" t="s">
        <v>225</v>
      </c>
      <c r="D200" s="48"/>
      <c r="E200" s="48"/>
      <c r="F200" s="48"/>
      <c r="G200" s="28">
        <v>4</v>
      </c>
    </row>
    <row r="201" spans="2:14" hidden="1" x14ac:dyDescent="0.15">
      <c r="B201" s="20">
        <v>7</v>
      </c>
      <c r="C201" s="48" t="s">
        <v>226</v>
      </c>
      <c r="D201" s="48"/>
      <c r="E201" s="48"/>
      <c r="F201" s="48"/>
      <c r="G201" s="28">
        <v>5</v>
      </c>
    </row>
    <row r="202" spans="2:14" hidden="1" x14ac:dyDescent="0.15">
      <c r="B202" s="20">
        <v>8</v>
      </c>
      <c r="C202" s="48" t="s">
        <v>227</v>
      </c>
      <c r="D202" s="48"/>
      <c r="E202" s="48"/>
      <c r="F202" s="48"/>
      <c r="G202" s="28">
        <v>6</v>
      </c>
    </row>
    <row r="203" spans="2:14" hidden="1" x14ac:dyDescent="0.15">
      <c r="B203" s="20">
        <v>9</v>
      </c>
      <c r="C203" s="48" t="s">
        <v>228</v>
      </c>
      <c r="D203" s="48"/>
      <c r="E203" s="48"/>
      <c r="F203" s="48"/>
      <c r="G203" s="28">
        <v>7</v>
      </c>
    </row>
    <row r="204" spans="2:14" hidden="1" x14ac:dyDescent="0.15">
      <c r="B204" s="20">
        <v>10</v>
      </c>
      <c r="C204" s="48" t="s">
        <v>229</v>
      </c>
      <c r="D204" s="48"/>
      <c r="E204" s="48"/>
      <c r="F204" s="48"/>
      <c r="G204" s="28">
        <v>8</v>
      </c>
    </row>
    <row r="205" spans="2:14" ht="5.0999999999999996" hidden="1" customHeight="1" x14ac:dyDescent="0.15"/>
    <row r="206" spans="2:14" hidden="1" x14ac:dyDescent="0.15">
      <c r="C206" s="1" t="s">
        <v>235</v>
      </c>
    </row>
    <row r="207" spans="2:14" hidden="1" x14ac:dyDescent="0.15">
      <c r="C207" s="1" t="s">
        <v>234</v>
      </c>
      <c r="D207" s="44"/>
      <c r="E207" s="44"/>
      <c r="F207" s="44"/>
      <c r="G207" s="44"/>
      <c r="H207" s="44"/>
      <c r="J207" s="39" t="str">
        <f>IF(SELABAS!B13,IF(SELABAS!J31=0,"O",IF(SELABAS!J31=SELABAS!K31,"P","N")),"")</f>
        <v/>
      </c>
      <c r="K207" s="41" t="str">
        <f>IF(SELABAS!B13,SELABAS!F31,"")</f>
        <v/>
      </c>
    </row>
    <row r="208" spans="2:14" hidden="1" x14ac:dyDescent="0.15"/>
    <row r="209" spans="2:4" hidden="1" x14ac:dyDescent="0.15"/>
    <row r="210" spans="2:4" hidden="1" x14ac:dyDescent="0.15"/>
    <row r="221" spans="2:4" x14ac:dyDescent="0.15">
      <c r="B221" s="52" t="s">
        <v>236</v>
      </c>
      <c r="C221" s="52"/>
      <c r="D221" s="52"/>
    </row>
    <row r="222" spans="2:4" x14ac:dyDescent="0.15">
      <c r="B222" s="52" t="s">
        <v>237</v>
      </c>
      <c r="C222" s="52"/>
      <c r="D222" s="52"/>
    </row>
    <row r="223" spans="2:4" x14ac:dyDescent="0.15">
      <c r="B223" s="52" t="s">
        <v>238</v>
      </c>
      <c r="C223" s="52"/>
      <c r="D223" s="52"/>
    </row>
  </sheetData>
  <sheetProtection algorithmName="SHA-512" hashValue="Ppu8f5F5YCrwYJJ88CZejrB+ixOdgK30i1BdxKgPh4hJNiQmtSJ+8iiJBB/1t34K0Bh2tRlbfZsWEMknFUUr3Q==" saltValue="St1D87ARX02WfpQNCY+5gg==" spinCount="100000" sheet="1" objects="1" scenarios="1"/>
  <protectedRanges>
    <protectedRange sqref="H18 H23 H28 H33 H38 H43 H48 H53 H58 H63 H68 H73 H78 H90 H95 F116:H116 F131:H131 D141:E143 F151:H151 F174:H174 D176 F176 H176 D207:H207 E189:H190" name="填答案区域"/>
  </protectedRanges>
  <mergeCells count="26">
    <mergeCell ref="C196:F196"/>
    <mergeCell ref="C194:F194"/>
    <mergeCell ref="B221:D221"/>
    <mergeCell ref="B222:D222"/>
    <mergeCell ref="B223:D223"/>
    <mergeCell ref="C204:F204"/>
    <mergeCell ref="C197:F197"/>
    <mergeCell ref="C198:F198"/>
    <mergeCell ref="C199:F199"/>
    <mergeCell ref="D207:H207"/>
    <mergeCell ref="C203:F203"/>
    <mergeCell ref="C200:F200"/>
    <mergeCell ref="C201:F201"/>
    <mergeCell ref="C202:F202"/>
    <mergeCell ref="C195:F195"/>
    <mergeCell ref="C151:E151"/>
    <mergeCell ref="F151:H151"/>
    <mergeCell ref="C131:E131"/>
    <mergeCell ref="F131:H131"/>
    <mergeCell ref="E189:H189"/>
    <mergeCell ref="F174:H174"/>
    <mergeCell ref="F116:H116"/>
    <mergeCell ref="C116:E116"/>
    <mergeCell ref="D141:E141"/>
    <mergeCell ref="D142:E142"/>
    <mergeCell ref="D143:E143"/>
  </mergeCells>
  <phoneticPr fontId="1" type="noConversion"/>
  <conditionalFormatting sqref="K1:K156 G157:G172 K173:K1048576">
    <cfRule type="cellIs" dxfId="1" priority="2" operator="equal">
      <formula>"错误"</formula>
    </cfRule>
  </conditionalFormatting>
  <conditionalFormatting sqref="G155">
    <cfRule type="cellIs" dxfId="0" priority="1" operator="equal">
      <formula>"错误"</formula>
    </cfRule>
  </conditionalFormatting>
  <dataValidations count="2">
    <dataValidation type="list" allowBlank="1" showInputMessage="1" showErrorMessage="1" sqref="H18 H23 H28 H33 H38 H43 H48 H53 H58 H63 H68 H73 H78:H85 H90 H95">
      <formula1>选项</formula1>
    </dataValidation>
    <dataValidation type="list" allowBlank="1" showInputMessage="1" showErrorMessage="1" sqref="H176 D176 F176">
      <formula1>键盘</formula1>
    </dataValidation>
  </dataValidations>
  <hyperlinks>
    <hyperlink ref="B222" r:id="rId1"/>
    <hyperlink ref="B223:D223" r:id="rId2" display="测试相关VBA程序遵守MIT许可协议 由 @sidneyzhang 制作"/>
  </hyperlinks>
  <pageMargins left="0.7" right="0.7" top="0.75" bottom="0.75" header="0.3" footer="0.3"/>
  <pageSetup paperSize="9" orientation="portrait" r:id="rId3"/>
  <ignoredErrors>
    <ignoredError sqref="B18 B23 B63 B58 B53 B48 B43 B38 B33 B28 B68 B73 B78 B90 B95 B101 B118 B133 B145 B153 B192 B178" numberStoredAsText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tartTes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1171575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topTest">
                <anchor moveWithCells="1" sizeWithCells="1">
                  <from>
                    <xdr:col>2</xdr:col>
                    <xdr:colOff>0</xdr:colOff>
                    <xdr:row>9</xdr:row>
                    <xdr:rowOff>9525</xdr:rowOff>
                  </from>
                  <to>
                    <xdr:col>2</xdr:col>
                    <xdr:colOff>1171575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uoTi">
                <anchor moveWithCells="1" sizeWithCells="1">
                  <from>
                    <xdr:col>4</xdr:col>
                    <xdr:colOff>0</xdr:colOff>
                    <xdr:row>8</xdr:row>
                    <xdr:rowOff>161925</xdr:rowOff>
                  </from>
                  <to>
                    <xdr:col>5</xdr:col>
                    <xdr:colOff>485775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hongZhi">
                <anchor moveWithCells="1" sizeWithCells="1">
                  <from>
                    <xdr:col>3</xdr:col>
                    <xdr:colOff>723900</xdr:colOff>
                    <xdr:row>6</xdr:row>
                    <xdr:rowOff>114300</xdr:rowOff>
                  </from>
                  <to>
                    <xdr:col>5</xdr:col>
                    <xdr:colOff>495300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K36"/>
  <sheetViews>
    <sheetView workbookViewId="0">
      <selection activeCell="F14" sqref="F14"/>
    </sheetView>
  </sheetViews>
  <sheetFormatPr defaultRowHeight="13.5" x14ac:dyDescent="0.15"/>
  <cols>
    <col min="6" max="6" width="27" style="37" customWidth="1"/>
    <col min="7" max="7" width="26.125" style="37" customWidth="1"/>
    <col min="8" max="8" width="32.125" style="37" customWidth="1"/>
  </cols>
  <sheetData>
    <row r="3" spans="2:11" x14ac:dyDescent="0.15">
      <c r="B3" t="s">
        <v>0</v>
      </c>
      <c r="E3" t="s">
        <v>21</v>
      </c>
      <c r="F3" s="37" t="s">
        <v>20</v>
      </c>
      <c r="G3" s="37" t="s">
        <v>150</v>
      </c>
      <c r="H3" s="37" t="s">
        <v>151</v>
      </c>
      <c r="I3" t="s">
        <v>22</v>
      </c>
      <c r="J3" t="s">
        <v>42</v>
      </c>
      <c r="K3" s="37" t="s">
        <v>253</v>
      </c>
    </row>
    <row r="4" spans="2:11" x14ac:dyDescent="0.15">
      <c r="B4" t="s">
        <v>1</v>
      </c>
      <c r="E4">
        <v>1</v>
      </c>
      <c r="F4" s="37" t="s">
        <v>3</v>
      </c>
      <c r="I4">
        <f>Excel水平测试!H18</f>
        <v>0</v>
      </c>
      <c r="J4">
        <f>IF(I4=F4,2,0)</f>
        <v>0</v>
      </c>
      <c r="K4">
        <v>2</v>
      </c>
    </row>
    <row r="5" spans="2:11" x14ac:dyDescent="0.15">
      <c r="B5" t="s">
        <v>2</v>
      </c>
      <c r="E5">
        <v>2</v>
      </c>
      <c r="F5" s="37" t="s">
        <v>43</v>
      </c>
      <c r="I5">
        <f>Excel水平测试!H23</f>
        <v>0</v>
      </c>
      <c r="J5">
        <f t="shared" ref="J5:J18" si="0">IF(I5=F5,2,0)</f>
        <v>0</v>
      </c>
      <c r="K5">
        <v>2</v>
      </c>
    </row>
    <row r="6" spans="2:11" x14ac:dyDescent="0.15">
      <c r="B6" t="s">
        <v>3</v>
      </c>
      <c r="E6">
        <v>3</v>
      </c>
      <c r="F6" s="37" t="s">
        <v>3</v>
      </c>
      <c r="I6">
        <f>Excel水平测试!H28</f>
        <v>0</v>
      </c>
      <c r="J6">
        <f t="shared" si="0"/>
        <v>0</v>
      </c>
      <c r="K6">
        <v>2</v>
      </c>
    </row>
    <row r="7" spans="2:11" x14ac:dyDescent="0.15">
      <c r="E7">
        <v>4</v>
      </c>
      <c r="F7" s="37" t="s">
        <v>125</v>
      </c>
      <c r="I7">
        <f>Excel水平测试!H33</f>
        <v>0</v>
      </c>
      <c r="J7">
        <f t="shared" si="0"/>
        <v>0</v>
      </c>
      <c r="K7">
        <v>2</v>
      </c>
    </row>
    <row r="8" spans="2:11" x14ac:dyDescent="0.15">
      <c r="E8">
        <v>5</v>
      </c>
      <c r="F8" s="37" t="s">
        <v>3</v>
      </c>
      <c r="I8">
        <f>Excel水平测试!H38</f>
        <v>0</v>
      </c>
      <c r="J8">
        <f t="shared" si="0"/>
        <v>0</v>
      </c>
      <c r="K8">
        <v>2</v>
      </c>
    </row>
    <row r="9" spans="2:11" x14ac:dyDescent="0.15">
      <c r="E9">
        <v>6</v>
      </c>
      <c r="F9" s="37" t="s">
        <v>3</v>
      </c>
      <c r="I9">
        <f>Excel水平测试!H43</f>
        <v>0</v>
      </c>
      <c r="J9">
        <f t="shared" si="0"/>
        <v>0</v>
      </c>
      <c r="K9">
        <v>2</v>
      </c>
    </row>
    <row r="10" spans="2:11" x14ac:dyDescent="0.15">
      <c r="E10">
        <v>7</v>
      </c>
      <c r="F10" s="37" t="s">
        <v>113</v>
      </c>
      <c r="I10">
        <f>Excel水平测试!H48</f>
        <v>0</v>
      </c>
      <c r="J10">
        <f t="shared" si="0"/>
        <v>0</v>
      </c>
      <c r="K10">
        <v>2</v>
      </c>
    </row>
    <row r="11" spans="2:11" x14ac:dyDescent="0.15">
      <c r="E11">
        <v>8</v>
      </c>
      <c r="F11" s="37" t="s">
        <v>126</v>
      </c>
      <c r="I11">
        <f>Excel水平测试!H53</f>
        <v>0</v>
      </c>
      <c r="J11">
        <f t="shared" si="0"/>
        <v>0</v>
      </c>
      <c r="K11">
        <v>2</v>
      </c>
    </row>
    <row r="12" spans="2:11" x14ac:dyDescent="0.15">
      <c r="E12">
        <v>9</v>
      </c>
      <c r="F12" s="37" t="s">
        <v>127</v>
      </c>
      <c r="I12">
        <f>Excel水平测试!H58</f>
        <v>0</v>
      </c>
      <c r="J12">
        <f t="shared" si="0"/>
        <v>0</v>
      </c>
      <c r="K12">
        <v>2</v>
      </c>
    </row>
    <row r="13" spans="2:11" x14ac:dyDescent="0.15">
      <c r="B13" t="b">
        <v>0</v>
      </c>
      <c r="E13">
        <v>10</v>
      </c>
      <c r="F13" s="37" t="s">
        <v>3</v>
      </c>
      <c r="I13">
        <f>Excel水平测试!H63</f>
        <v>0</v>
      </c>
      <c r="J13">
        <f t="shared" si="0"/>
        <v>0</v>
      </c>
      <c r="K13">
        <v>2</v>
      </c>
    </row>
    <row r="14" spans="2:11" x14ac:dyDescent="0.15">
      <c r="E14">
        <v>11</v>
      </c>
      <c r="F14" s="37" t="s">
        <v>114</v>
      </c>
      <c r="I14">
        <f>Excel水平测试!H68</f>
        <v>0</v>
      </c>
      <c r="J14">
        <f t="shared" si="0"/>
        <v>0</v>
      </c>
      <c r="K14">
        <v>2</v>
      </c>
    </row>
    <row r="15" spans="2:11" x14ac:dyDescent="0.15">
      <c r="E15">
        <v>12</v>
      </c>
      <c r="F15" s="37" t="s">
        <v>114</v>
      </c>
      <c r="I15">
        <f>Excel水平测试!H73</f>
        <v>0</v>
      </c>
      <c r="J15">
        <f t="shared" si="0"/>
        <v>0</v>
      </c>
      <c r="K15">
        <v>2</v>
      </c>
    </row>
    <row r="16" spans="2:11" x14ac:dyDescent="0.15">
      <c r="E16">
        <v>13</v>
      </c>
      <c r="F16" s="37" t="s">
        <v>3</v>
      </c>
      <c r="I16">
        <f>Excel水平测试!H78</f>
        <v>0</v>
      </c>
      <c r="J16">
        <f t="shared" si="0"/>
        <v>0</v>
      </c>
      <c r="K16">
        <v>2</v>
      </c>
    </row>
    <row r="17" spans="2:11" x14ac:dyDescent="0.15">
      <c r="E17">
        <v>14</v>
      </c>
      <c r="F17" s="37" t="s">
        <v>129</v>
      </c>
      <c r="I17">
        <f>Excel水平测试!H90</f>
        <v>0</v>
      </c>
      <c r="J17">
        <f t="shared" si="0"/>
        <v>0</v>
      </c>
      <c r="K17">
        <v>2</v>
      </c>
    </row>
    <row r="18" spans="2:11" x14ac:dyDescent="0.15">
      <c r="E18">
        <v>15</v>
      </c>
      <c r="F18" s="37" t="s">
        <v>3</v>
      </c>
      <c r="I18">
        <f>Excel水平测试!H95</f>
        <v>0</v>
      </c>
      <c r="J18">
        <f t="shared" si="0"/>
        <v>0</v>
      </c>
      <c r="K18">
        <v>2</v>
      </c>
    </row>
    <row r="19" spans="2:11" ht="40.5" x14ac:dyDescent="0.15">
      <c r="E19">
        <v>16</v>
      </c>
      <c r="F19" s="36" t="s">
        <v>130</v>
      </c>
      <c r="G19" s="36" t="s">
        <v>131</v>
      </c>
      <c r="H19" s="36"/>
      <c r="I19">
        <f>Excel水平测试!F116</f>
        <v>0</v>
      </c>
      <c r="J19">
        <f>IF(UPPER(I19)=F19,10,IF(UPPER(I19)=G19,2,0))</f>
        <v>0</v>
      </c>
      <c r="K19">
        <v>10</v>
      </c>
    </row>
    <row r="20" spans="2:11" ht="27" x14ac:dyDescent="0.15">
      <c r="B20" t="s">
        <v>177</v>
      </c>
      <c r="E20">
        <v>17</v>
      </c>
      <c r="F20" s="36" t="s">
        <v>242</v>
      </c>
      <c r="G20" s="36"/>
      <c r="H20" s="36"/>
      <c r="I20">
        <f>Excel水平测试!F131</f>
        <v>0</v>
      </c>
      <c r="J20">
        <f>IF(I20=F20,10,0)</f>
        <v>0</v>
      </c>
      <c r="K20">
        <v>10</v>
      </c>
    </row>
    <row r="21" spans="2:11" x14ac:dyDescent="0.15">
      <c r="B21" t="s">
        <v>178</v>
      </c>
      <c r="E21">
        <v>18</v>
      </c>
      <c r="F21" s="36" t="s">
        <v>243</v>
      </c>
      <c r="G21" s="36"/>
      <c r="H21" s="36"/>
      <c r="I21">
        <f>Excel水平测试!D141</f>
        <v>0</v>
      </c>
      <c r="J21">
        <f>IF(UPPER(I21)=F21,4,0)</f>
        <v>0</v>
      </c>
      <c r="K21">
        <v>4</v>
      </c>
    </row>
    <row r="22" spans="2:11" x14ac:dyDescent="0.15">
      <c r="B22" t="s">
        <v>179</v>
      </c>
      <c r="F22" s="36">
        <v>0</v>
      </c>
      <c r="G22" s="36"/>
      <c r="H22" s="36"/>
      <c r="I22">
        <f>Excel水平测试!D142</f>
        <v>0</v>
      </c>
      <c r="J22">
        <f>IF(UPPER(I22)=F22,2,0)</f>
        <v>0</v>
      </c>
      <c r="K22">
        <v>2</v>
      </c>
    </row>
    <row r="23" spans="2:11" x14ac:dyDescent="0.15">
      <c r="B23" t="s">
        <v>180</v>
      </c>
      <c r="F23" s="36" t="s">
        <v>244</v>
      </c>
      <c r="G23" s="36"/>
      <c r="H23" s="36"/>
      <c r="I23">
        <f>Excel水平测试!D143</f>
        <v>0</v>
      </c>
      <c r="J23">
        <f t="shared" ref="J23" si="1">IF(UPPER(I23)=F23,4,0)</f>
        <v>0</v>
      </c>
      <c r="K23">
        <v>4</v>
      </c>
    </row>
    <row r="24" spans="2:11" x14ac:dyDescent="0.15">
      <c r="B24" t="s">
        <v>181</v>
      </c>
      <c r="E24">
        <v>19</v>
      </c>
      <c r="F24" s="36" t="s">
        <v>245</v>
      </c>
      <c r="G24" s="36" t="s">
        <v>246</v>
      </c>
      <c r="H24" s="36"/>
      <c r="I24">
        <f>Excel水平测试!F151</f>
        <v>0</v>
      </c>
      <c r="J24">
        <f>IF(OR(I24=F24,I24=G24),10,0)</f>
        <v>0</v>
      </c>
      <c r="K24">
        <v>10</v>
      </c>
    </row>
    <row r="25" spans="2:11" ht="27" x14ac:dyDescent="0.15">
      <c r="B25" t="s">
        <v>182</v>
      </c>
      <c r="E25">
        <v>20</v>
      </c>
      <c r="F25" s="36" t="s">
        <v>252</v>
      </c>
      <c r="G25" s="36"/>
      <c r="H25" s="36" t="s">
        <v>257</v>
      </c>
      <c r="I25">
        <f>Excel水平测试!F174</f>
        <v>0</v>
      </c>
      <c r="J25">
        <f>IF(I25=F25,4,IF(I25=H25,1,0))</f>
        <v>0</v>
      </c>
      <c r="K25">
        <v>4</v>
      </c>
    </row>
    <row r="26" spans="2:11" x14ac:dyDescent="0.15">
      <c r="B26" t="s">
        <v>183</v>
      </c>
      <c r="F26" s="37" t="s">
        <v>247</v>
      </c>
      <c r="I26">
        <f>Excel水平测试!D176</f>
        <v>0</v>
      </c>
      <c r="J26">
        <f>IF(_xlfn.IFNA(MATCH(I26,$F$26:$F$28),0),2,0)</f>
        <v>0</v>
      </c>
      <c r="K26">
        <v>2</v>
      </c>
    </row>
    <row r="27" spans="2:11" x14ac:dyDescent="0.15">
      <c r="B27" t="s">
        <v>184</v>
      </c>
      <c r="F27" s="37" t="s">
        <v>248</v>
      </c>
      <c r="I27">
        <f>Excel水平测试!F176</f>
        <v>0</v>
      </c>
      <c r="J27">
        <f t="shared" ref="J27:J28" si="2">IF(_xlfn.IFNA(MATCH(I27,$F$26:$F$28),0),2,0)</f>
        <v>0</v>
      </c>
      <c r="K27">
        <v>2</v>
      </c>
    </row>
    <row r="28" spans="2:11" x14ac:dyDescent="0.15">
      <c r="B28" t="s">
        <v>185</v>
      </c>
      <c r="F28" s="37" t="s">
        <v>249</v>
      </c>
      <c r="I28">
        <f>Excel水平测试!H176</f>
        <v>0</v>
      </c>
      <c r="J28">
        <f t="shared" si="2"/>
        <v>0</v>
      </c>
      <c r="K28">
        <v>2</v>
      </c>
    </row>
    <row r="29" spans="2:11" ht="108" x14ac:dyDescent="0.15">
      <c r="B29" t="s">
        <v>186</v>
      </c>
      <c r="E29" s="42">
        <v>21</v>
      </c>
      <c r="F29" s="43" t="s">
        <v>250</v>
      </c>
      <c r="G29" s="43" t="s">
        <v>258</v>
      </c>
      <c r="H29" s="43" t="s">
        <v>259</v>
      </c>
      <c r="I29" s="42">
        <f>Excel水平测试!E189</f>
        <v>0</v>
      </c>
      <c r="J29" s="42">
        <f>IF(IFERROR(MATCH(I29,F29:H30),0),10,IF(AND(AND(IFERROR(FIND("CHAR",I29),0),IFERROR(FIND("RAND",I29),0)),OR(IFERROR(FIND("&amp;",I29),0),IFERROR(FIND("CONCATENATE",I29),0))),6,0))</f>
        <v>0</v>
      </c>
      <c r="K29">
        <v>10</v>
      </c>
    </row>
    <row r="30" spans="2:11" ht="108" x14ac:dyDescent="0.15">
      <c r="E30" s="42"/>
      <c r="F30" s="43" t="s">
        <v>254</v>
      </c>
      <c r="G30" s="43" t="s">
        <v>255</v>
      </c>
      <c r="H30" s="43" t="s">
        <v>260</v>
      </c>
      <c r="I30" s="42"/>
      <c r="J30" s="42"/>
    </row>
    <row r="31" spans="2:11" ht="121.5" x14ac:dyDescent="0.15">
      <c r="E31">
        <v>22</v>
      </c>
      <c r="F31" s="36" t="s">
        <v>233</v>
      </c>
      <c r="G31" s="36"/>
      <c r="H31" s="36"/>
      <c r="I31">
        <f>Excel水平测试!D207</f>
        <v>0</v>
      </c>
      <c r="J31">
        <f>IF(I31=F31,10,IF(UPPER(MID(I31,1,3))="MID",2,0))</f>
        <v>0</v>
      </c>
      <c r="K31">
        <v>10</v>
      </c>
    </row>
    <row r="32" spans="2:11" x14ac:dyDescent="0.15">
      <c r="H32" s="36"/>
    </row>
    <row r="33" spans="8:8" x14ac:dyDescent="0.15">
      <c r="H33" s="36"/>
    </row>
    <row r="34" spans="8:8" x14ac:dyDescent="0.15">
      <c r="H34" s="36"/>
    </row>
    <row r="35" spans="8:8" x14ac:dyDescent="0.15">
      <c r="H35" s="36"/>
    </row>
    <row r="36" spans="8:8" x14ac:dyDescent="0.15">
      <c r="H36" s="36"/>
    </row>
  </sheetData>
  <phoneticPr fontId="1" type="noConversion"/>
  <pageMargins left="0.7" right="0.7" top="0.75" bottom="0.75" header="0.3" footer="0.3"/>
  <pageSetup paperSize="9" orientation="portrait" r:id="rId1"/>
  <ignoredErrors>
    <ignoredError sqref="J2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Excel水平测试</vt:lpstr>
      <vt:lpstr>SELABAS</vt:lpstr>
      <vt:lpstr>键盘</vt:lpstr>
      <vt:lpstr>选项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GZZC</dc:creator>
  <cp:lastModifiedBy>GZZC</cp:lastModifiedBy>
  <dcterms:created xsi:type="dcterms:W3CDTF">2017-07-12T02:03:05Z</dcterms:created>
  <dcterms:modified xsi:type="dcterms:W3CDTF">2017-08-31T08:00:49Z</dcterms:modified>
</cp:coreProperties>
</file>